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slicers/slicer5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slicers/slicer6.xml" ContentType="application/vnd.ms-excel.slicer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slicers/slicer7.xml" ContentType="application/vnd.ms-excel.slicer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slicers/slicer8.xml" ContentType="application/vnd.ms-excel.slicer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7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4.xml" ContentType="application/vnd.ms-excel.timelin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1.xml" ContentType="application/vnd.openxmlformats-officedocument.drawing+xml"/>
  <Override PartName="/xl/slicers/slicer10.xml" ContentType="application/vnd.ms-excel.slicer+xml"/>
  <Override PartName="/xl/timelines/timeline5.xml" ContentType="application/vnd.ms-excel.timelin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slicers/slicer11.xml" ContentType="application/vnd.ms-excel.slicer+xml"/>
  <Override PartName="/xl/timelines/timeline6.xml" ContentType="application/vnd.ms-excel.timelin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slicers/slicer12.xml" ContentType="application/vnd.ms-excel.slicer+xml"/>
  <Override PartName="/xl/timelines/timeline7.xml" ContentType="application/vnd.ms-excel.timelin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slicers/slicer13.xml" ContentType="application/vnd.ms-excel.slicer+xml"/>
  <Override PartName="/xl/timelines/timeline8.xml" ContentType="application/vnd.ms-excel.timelin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Visagio\Google Drive\02. Atacado  Itau DWS\09. Garantias\03. Execução\06. Workflow - Proprios\Indicadores\"/>
    </mc:Choice>
  </mc:AlternateContent>
  <bookViews>
    <workbookView xWindow="0" yWindow="0" windowWidth="20490" windowHeight="8445" firstSheet="16" activeTab="20"/>
  </bookViews>
  <sheets>
    <sheet name="Home" sheetId="22" r:id="rId1"/>
    <sheet name="Live" sheetId="30" r:id="rId2"/>
    <sheet name="Operações" sheetId="24" r:id="rId3"/>
    <sheet name="Apoio Ops" sheetId="25" r:id="rId4"/>
    <sheet name="SLA &amp; Volumetria" sheetId="2" r:id="rId5"/>
    <sheet name="Visão Esteira22" sheetId="9" state="hidden" r:id="rId6"/>
    <sheet name="Inclusão" sheetId="14" state="hidden" r:id="rId7"/>
    <sheet name="Composição" sheetId="15" state="hidden" r:id="rId8"/>
    <sheet name="Liberação" sheetId="11" state="hidden" r:id="rId9"/>
    <sheet name="Conciliação" sheetId="13" state="hidden" r:id="rId10"/>
    <sheet name="Relatórios" sheetId="16" state="hidden" r:id="rId11"/>
    <sheet name="Atendimento" sheetId="17" state="hidden" r:id="rId12"/>
    <sheet name="Visão Esteira" sheetId="26" r:id="rId13"/>
    <sheet name="Visão Tipo de Garantia" sheetId="27" r:id="rId14"/>
    <sheet name="Visão Período" sheetId="28" r:id="rId15"/>
    <sheet name="Visão Segmento" sheetId="29" r:id="rId16"/>
    <sheet name="PT Tipos de Garantia" sheetId="10" r:id="rId17"/>
    <sheet name="PT Esteira+Coord" sheetId="19" r:id="rId18"/>
    <sheet name="PT Segmento" sheetId="20" r:id="rId19"/>
    <sheet name="PT Tempo" sheetId="21" r:id="rId20"/>
    <sheet name="Base" sheetId="1" r:id="rId21"/>
    <sheet name="Apoio" sheetId="3" r:id="rId22"/>
  </sheets>
  <definedNames>
    <definedName name="_xlnm._FilterDatabase" localSheetId="21" hidden="1">Apoio!$A$1:$E$25</definedName>
    <definedName name="_xlnm._FilterDatabase" localSheetId="20" hidden="1">Base!$B$1:$AD$43</definedName>
    <definedName name="EndDate">'Apoio Ops'!$N$2</definedName>
    <definedName name="NativeTimeline_Data_de_Abertura">#N/A</definedName>
    <definedName name="NativeTimeline_Data_de_Abertura2">#N/A</definedName>
    <definedName name="NativeTimeline_Data_de_Abertura3">#N/A</definedName>
    <definedName name="SegmentaçãodeDados_Esteira">#N/A</definedName>
    <definedName name="SegmentaçãodeDados_Esteira2">#N/A</definedName>
    <definedName name="SegmentaçãodeDados_Esteira3">#N/A</definedName>
    <definedName name="SegmentaçãodeDados_Fluxo">#N/A</definedName>
    <definedName name="SegmentaçãodeDados_Fluxo1">#N/A</definedName>
    <definedName name="SegmentaçãodeDados_Fluxo2">#N/A</definedName>
    <definedName name="SegmentaçãodeDados_Fluxo3">#N/A</definedName>
    <definedName name="SegmentaçãodeDados_Segmento2">#N/A</definedName>
    <definedName name="SegmentaçãodeDados_Segmento3">#N/A</definedName>
    <definedName name="SegmentaçãodeDados_Segmento4">#N/A</definedName>
    <definedName name="SegmentaçãodeDados_Tipo_de_Garantia1">#N/A</definedName>
    <definedName name="SegmentaçãodeDados_Tipo_de_Garantia2">#N/A</definedName>
    <definedName name="StartDate">'Apoio Ops'!$M$2</definedName>
  </definedNames>
  <calcPr calcId="152511"/>
  <pivotCaches>
    <pivotCache cacheId="9" r:id="rId23"/>
    <pivotCache cacheId="21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7"/>
        <x15:timelineCacheRef r:id="rId38"/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R10" i="1"/>
  <c r="I10" i="1"/>
  <c r="H10" i="1"/>
  <c r="G10" i="1" s="1"/>
  <c r="S11" i="1"/>
  <c r="R11" i="1"/>
  <c r="I11" i="1"/>
  <c r="H11" i="1"/>
  <c r="G11" i="1" s="1"/>
  <c r="I22" i="1"/>
  <c r="I43" i="1"/>
  <c r="R2" i="1" l="1"/>
  <c r="R3" i="1"/>
  <c r="R4" i="1"/>
  <c r="R5" i="1"/>
  <c r="R6" i="1"/>
  <c r="R7" i="1"/>
  <c r="R8" i="1"/>
  <c r="R9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S2" i="1" l="1"/>
  <c r="S3" i="1"/>
  <c r="S4" i="1"/>
  <c r="S5" i="1"/>
  <c r="S6" i="1"/>
  <c r="S7" i="1"/>
  <c r="S8" i="1"/>
  <c r="S9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O8" i="16" l="1"/>
  <c r="O8" i="15"/>
  <c r="O8" i="14"/>
  <c r="O8" i="13"/>
  <c r="O8" i="11" l="1"/>
  <c r="H7" i="1"/>
  <c r="G7" i="1" s="1"/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1" i="1"/>
  <c r="I20" i="1"/>
  <c r="I19" i="1"/>
  <c r="I18" i="1"/>
  <c r="I17" i="1"/>
  <c r="I16" i="1"/>
  <c r="I15" i="1"/>
  <c r="I14" i="1"/>
  <c r="I13" i="1"/>
  <c r="I12" i="1"/>
  <c r="I9" i="1"/>
  <c r="I8" i="1"/>
  <c r="I7" i="1"/>
  <c r="I6" i="1"/>
  <c r="I5" i="1"/>
  <c r="I4" i="1"/>
  <c r="I3" i="1"/>
  <c r="I2" i="1"/>
  <c r="H43" i="1"/>
  <c r="G43" i="1" s="1"/>
  <c r="H42" i="1"/>
  <c r="G42" i="1" s="1"/>
  <c r="H41" i="1"/>
  <c r="G41" i="1" s="1"/>
  <c r="H40" i="1"/>
  <c r="G40" i="1" s="1"/>
  <c r="H39" i="1"/>
  <c r="G39" i="1" s="1"/>
  <c r="H38" i="1"/>
  <c r="G38" i="1" s="1"/>
  <c r="H37" i="1"/>
  <c r="G37" i="1" s="1"/>
  <c r="H36" i="1"/>
  <c r="G36" i="1" s="1"/>
  <c r="H35" i="1"/>
  <c r="G35" i="1" s="1"/>
  <c r="H34" i="1"/>
  <c r="G34" i="1" s="1"/>
  <c r="H33" i="1"/>
  <c r="G33" i="1" s="1"/>
  <c r="H32" i="1"/>
  <c r="G32" i="1" s="1"/>
  <c r="H31" i="1"/>
  <c r="G31" i="1" s="1"/>
  <c r="H30" i="1"/>
  <c r="G30" i="1" s="1"/>
  <c r="H29" i="1"/>
  <c r="G29" i="1" s="1"/>
  <c r="H28" i="1"/>
  <c r="G28" i="1" s="1"/>
  <c r="H27" i="1"/>
  <c r="G27" i="1" s="1"/>
  <c r="H26" i="1"/>
  <c r="G26" i="1" s="1"/>
  <c r="H25" i="1"/>
  <c r="G25" i="1" s="1"/>
  <c r="H24" i="1"/>
  <c r="G24" i="1" s="1"/>
  <c r="H23" i="1"/>
  <c r="G23" i="1" s="1"/>
  <c r="H22" i="1"/>
  <c r="G22" i="1" s="1"/>
  <c r="H21" i="1"/>
  <c r="G21" i="1" s="1"/>
  <c r="H20" i="1"/>
  <c r="G20" i="1" s="1"/>
  <c r="H19" i="1"/>
  <c r="G19" i="1" s="1"/>
  <c r="H18" i="1"/>
  <c r="G18" i="1" s="1"/>
  <c r="H17" i="1"/>
  <c r="G17" i="1" s="1"/>
  <c r="H16" i="1"/>
  <c r="G16" i="1" s="1"/>
  <c r="H15" i="1"/>
  <c r="G15" i="1" s="1"/>
  <c r="H14" i="1"/>
  <c r="G14" i="1" s="1"/>
  <c r="H13" i="1"/>
  <c r="G13" i="1" s="1"/>
  <c r="H12" i="1"/>
  <c r="G12" i="1" s="1"/>
  <c r="H9" i="1"/>
  <c r="G9" i="1" s="1"/>
  <c r="H8" i="1"/>
  <c r="G8" i="1" s="1"/>
  <c r="H6" i="1"/>
  <c r="G6" i="1" s="1"/>
  <c r="H5" i="1"/>
  <c r="G5" i="1" s="1"/>
  <c r="H4" i="1"/>
  <c r="G4" i="1" s="1"/>
  <c r="H3" i="1"/>
  <c r="G3" i="1" s="1"/>
  <c r="H2" i="1"/>
  <c r="G2" i="1" s="1"/>
</calcChain>
</file>

<file path=xl/comments1.xml><?xml version="1.0" encoding="utf-8"?>
<comments xmlns="http://schemas.openxmlformats.org/spreadsheetml/2006/main">
  <authors>
    <author>Visagio</author>
  </authors>
  <commentList>
    <comment ref="F1" authorId="0" shapeId="0">
      <text>
        <r>
          <rPr>
            <b/>
            <sz val="9"/>
            <color indexed="81"/>
            <rFont val="Segoe UI"/>
            <charset val="1"/>
          </rPr>
          <t>Visagio:</t>
        </r>
        <r>
          <rPr>
            <sz val="9"/>
            <color indexed="81"/>
            <rFont val="Segoe UI"/>
            <charset val="1"/>
          </rPr>
          <t xml:space="preserve">
Trazer no excel a tabela de logs e ver o analista pelo id do chamado</t>
        </r>
      </text>
    </comment>
  </commentList>
</comments>
</file>

<file path=xl/sharedStrings.xml><?xml version="1.0" encoding="utf-8"?>
<sst xmlns="http://schemas.openxmlformats.org/spreadsheetml/2006/main" count="609" uniqueCount="194">
  <si>
    <t>ID Chamado</t>
  </si>
  <si>
    <t>Esteira</t>
  </si>
  <si>
    <t>Fluxo</t>
  </si>
  <si>
    <t>Segmento</t>
  </si>
  <si>
    <t>Tipo de Garantia</t>
  </si>
  <si>
    <t>Tempo Total de Atuação</t>
  </si>
  <si>
    <t>Horário de Conclusão</t>
  </si>
  <si>
    <t>Prazo SLA</t>
  </si>
  <si>
    <t>Meta</t>
  </si>
  <si>
    <t>Quantidade</t>
  </si>
  <si>
    <t>Inclusão</t>
  </si>
  <si>
    <t>Inclusão de Operação</t>
  </si>
  <si>
    <t>Status</t>
  </si>
  <si>
    <t>Campo Específico 6</t>
  </si>
  <si>
    <t>Campo Específico 7</t>
  </si>
  <si>
    <t>Campo Específico 8</t>
  </si>
  <si>
    <t>Campo Específico 9</t>
  </si>
  <si>
    <t>Campo Específico 10</t>
  </si>
  <si>
    <t>CLU</t>
  </si>
  <si>
    <t>Duplicatas</t>
  </si>
  <si>
    <t>Rótulos de Linha</t>
  </si>
  <si>
    <t>Total Geral</t>
  </si>
  <si>
    <t>Rótulos de Coluna</t>
  </si>
  <si>
    <t>Chamado1</t>
  </si>
  <si>
    <t>Chamado2</t>
  </si>
  <si>
    <t>Chamado3</t>
  </si>
  <si>
    <t>Chamado4</t>
  </si>
  <si>
    <t>Chamado5</t>
  </si>
  <si>
    <t>Chamado6</t>
  </si>
  <si>
    <t>Chamado7</t>
  </si>
  <si>
    <t>Chamado8</t>
  </si>
  <si>
    <t>Chamado9</t>
  </si>
  <si>
    <t>Chamado10</t>
  </si>
  <si>
    <t>Chamado11</t>
  </si>
  <si>
    <t>Chamado12</t>
  </si>
  <si>
    <t>Composição</t>
  </si>
  <si>
    <t>Liberação</t>
  </si>
  <si>
    <t>Chamado13</t>
  </si>
  <si>
    <t>Chamado14</t>
  </si>
  <si>
    <t>Chamado15</t>
  </si>
  <si>
    <t>Chamado16</t>
  </si>
  <si>
    <t>Chamado17</t>
  </si>
  <si>
    <t>Chamado18</t>
  </si>
  <si>
    <t>Chamado19</t>
  </si>
  <si>
    <t>Chamado20</t>
  </si>
  <si>
    <t>Chamado21</t>
  </si>
  <si>
    <t>Chamado22</t>
  </si>
  <si>
    <t>Chamado23</t>
  </si>
  <si>
    <t>Chamado24</t>
  </si>
  <si>
    <t>Chamado25</t>
  </si>
  <si>
    <t>Chamado26</t>
  </si>
  <si>
    <t>Chamado27</t>
  </si>
  <si>
    <t>Chamado28</t>
  </si>
  <si>
    <t>Chamado29</t>
  </si>
  <si>
    <t>Chamado30</t>
  </si>
  <si>
    <t>Chamado31</t>
  </si>
  <si>
    <t>Chamado32</t>
  </si>
  <si>
    <t>Chamado33</t>
  </si>
  <si>
    <t>Chamado34</t>
  </si>
  <si>
    <t>Chamado35</t>
  </si>
  <si>
    <t>Chamado36</t>
  </si>
  <si>
    <t>Chamado37</t>
  </si>
  <si>
    <t>Chamado38</t>
  </si>
  <si>
    <t>Chamado39</t>
  </si>
  <si>
    <t>Chamado40</t>
  </si>
  <si>
    <t>Atendimento</t>
  </si>
  <si>
    <t>Alteração de Controle</t>
  </si>
  <si>
    <t>MM</t>
  </si>
  <si>
    <t>Campos a Pivotear</t>
  </si>
  <si>
    <t>Bloqueio de Aplicação</t>
  </si>
  <si>
    <t>Trava (E-mail Padrão)</t>
  </si>
  <si>
    <t>Trava (E-mail Fora do Padrão)</t>
  </si>
  <si>
    <t>Reassociação de Veículos</t>
  </si>
  <si>
    <t>Composição Sem Liberação</t>
  </si>
  <si>
    <t>Composição Com Liberação</t>
  </si>
  <si>
    <t>Liberação via Módulo</t>
  </si>
  <si>
    <t>Liberação Pontual de Recursos</t>
  </si>
  <si>
    <t>Liberação Pontual de Recursos (Portal TEF)</t>
  </si>
  <si>
    <t>Lista de Indicadores</t>
  </si>
  <si>
    <t>SLA/Meta por esteira</t>
  </si>
  <si>
    <t>Gerenciais de Suspensão</t>
  </si>
  <si>
    <t>Gerenciais de Cancelamento</t>
  </si>
  <si>
    <t>Emissão de Termo de Liberação</t>
  </si>
  <si>
    <t>Desbloqueio</t>
  </si>
  <si>
    <t>Destrava</t>
  </si>
  <si>
    <t>Liberação de Instrução</t>
  </si>
  <si>
    <t>Antecipação de Recebíveis</t>
  </si>
  <si>
    <t>Pagamentos e Despesas</t>
  </si>
  <si>
    <t>Conciliação</t>
  </si>
  <si>
    <t>Batimentos</t>
  </si>
  <si>
    <t>Fechamento</t>
  </si>
  <si>
    <t>Relatórios</t>
  </si>
  <si>
    <t>Relatório</t>
  </si>
  <si>
    <t>Nome do Relatório;Periodicidade</t>
  </si>
  <si>
    <t>Consultas</t>
  </si>
  <si>
    <t>Consulta Solicitada ; Origem da Solicitação</t>
  </si>
  <si>
    <t>Dúvidas</t>
  </si>
  <si>
    <t>Origem da Solicitação ; Complexidade</t>
  </si>
  <si>
    <t>Confirmação de Utilização de Conta</t>
  </si>
  <si>
    <t>Tratamento de GECOV</t>
  </si>
  <si>
    <t xml:space="preserve">TEG ; Particularidades ; </t>
  </si>
  <si>
    <t>Outras Infos</t>
  </si>
  <si>
    <t>Suspensão</t>
  </si>
  <si>
    <t>Tipo de Alteração</t>
  </si>
  <si>
    <t>Tipo de Aplicação ; Valor a Bloquear ; Quantidade a Bloquear ; Quantidade Bloqueada ; Inconsistência de Valores</t>
  </si>
  <si>
    <t>Quantidade de Travas Realizadas</t>
  </si>
  <si>
    <t>Quantidade de Inconsistências ; Quantidade de Inconsistências Corrigidas</t>
  </si>
  <si>
    <t>Operações Liquidadas Identificadas ; Tipo de Composição ; Corte ; Quantidade de Liberações (1,2,3,4) ; Valor Liberado (1,2,3,4)</t>
  </si>
  <si>
    <t>Operações Liquidadas Identificadas</t>
  </si>
  <si>
    <t>Concluído</t>
  </si>
  <si>
    <t>Cancelado</t>
  </si>
  <si>
    <t>ANALISTA</t>
  </si>
  <si>
    <t>Quantidade de Liberações ; Valor Solicitado ; Valor Liberado</t>
  </si>
  <si>
    <t>Quantidade de Liberações ;  Valor Liberado</t>
  </si>
  <si>
    <t>Motivo</t>
  </si>
  <si>
    <t>Tipo de Aplicação ; Valor a Desbloquear ; Quantidade a Desloquear ; Quantidade Desbloqueada ; Inconsistência de Valores</t>
  </si>
  <si>
    <t>Quantidade de Destravas Realizadas</t>
  </si>
  <si>
    <t>Tratativas Manuais ; Tratativas Automáticas ; Total de Instruções Liberadas</t>
  </si>
  <si>
    <t>Tipo de Despesa ; Valor</t>
  </si>
  <si>
    <t>Tipo de Batimento ; Operações fora do controle ; ........</t>
  </si>
  <si>
    <t>ID Fluxo</t>
  </si>
  <si>
    <t>Tipos de Garantia</t>
  </si>
  <si>
    <t>Cartões</t>
  </si>
  <si>
    <t>DC</t>
  </si>
  <si>
    <t>Aplicações</t>
  </si>
  <si>
    <t>Imóveis</t>
  </si>
  <si>
    <t>Máquinas e Veículos</t>
  </si>
  <si>
    <t>Outros Bens</t>
  </si>
  <si>
    <t>Atraso</t>
  </si>
  <si>
    <t>No Prazo</t>
  </si>
  <si>
    <t>Fora do Prazo</t>
  </si>
  <si>
    <t>Atingida</t>
  </si>
  <si>
    <t>Não Atingida</t>
  </si>
  <si>
    <t>Contagem de Atraso</t>
  </si>
  <si>
    <t>Data de Abertura</t>
  </si>
  <si>
    <t>Coordenação</t>
  </si>
  <si>
    <t>Coord 1</t>
  </si>
  <si>
    <t>Coord 2</t>
  </si>
  <si>
    <t>Coord 3</t>
  </si>
  <si>
    <t>Valor Liberado</t>
  </si>
  <si>
    <t># de liberações</t>
  </si>
  <si>
    <t>Portal TEF</t>
  </si>
  <si>
    <t>Solicitação e-mail</t>
  </si>
  <si>
    <t>Cortes</t>
  </si>
  <si>
    <t># de Inclusões</t>
  </si>
  <si>
    <t>jan</t>
  </si>
  <si>
    <t>abr</t>
  </si>
  <si>
    <t>mai</t>
  </si>
  <si>
    <t>jun</t>
  </si>
  <si>
    <t>jul</t>
  </si>
  <si>
    <t>Qtd</t>
  </si>
  <si>
    <t>Mês</t>
  </si>
  <si>
    <t>Coordenação 1</t>
  </si>
  <si>
    <t>Atraso %</t>
  </si>
  <si>
    <t>Volume</t>
  </si>
  <si>
    <t>Atendimento SLA</t>
  </si>
  <si>
    <t>fev</t>
  </si>
  <si>
    <t>mar</t>
  </si>
  <si>
    <t>ago</t>
  </si>
  <si>
    <t>set</t>
  </si>
  <si>
    <t>Valor Solicitado ; Valor Aprovado/Liberado</t>
  </si>
  <si>
    <t>TEG</t>
  </si>
  <si>
    <t>Z</t>
  </si>
  <si>
    <t>W</t>
  </si>
  <si>
    <t>Geral</t>
  </si>
  <si>
    <t>Exigido Percentual</t>
  </si>
  <si>
    <t>Soma de Valor Liberado</t>
  </si>
  <si>
    <t>Origem da Solicitação</t>
  </si>
  <si>
    <t>Middle Office</t>
  </si>
  <si>
    <t>Comercial MM</t>
  </si>
  <si>
    <t>Particularidades</t>
  </si>
  <si>
    <t>Tipo de Consulta</t>
  </si>
  <si>
    <t>Backoffice Produtos</t>
  </si>
  <si>
    <t>Contagem de TEG</t>
  </si>
  <si>
    <t>Contagem de Particularidades</t>
  </si>
  <si>
    <t>Contagem de Origem da Solicitação</t>
  </si>
  <si>
    <t>Contagem de Fluxo</t>
  </si>
  <si>
    <t>Chamado44</t>
  </si>
  <si>
    <t>Chamado42</t>
  </si>
  <si>
    <t>Envio de Posição</t>
  </si>
  <si>
    <t>Convênio</t>
  </si>
  <si>
    <t>Contagem de Tipo de Consulta</t>
  </si>
  <si>
    <t>Filtro da TimeLine</t>
  </si>
  <si>
    <t>e</t>
  </si>
  <si>
    <t>Concluídas</t>
  </si>
  <si>
    <t>Em Aberto</t>
  </si>
  <si>
    <t>Em Andamento</t>
  </si>
  <si>
    <t>Na Fila</t>
  </si>
  <si>
    <t>Suspensas</t>
  </si>
  <si>
    <t>Canceladas</t>
  </si>
  <si>
    <t>Total</t>
  </si>
  <si>
    <t>TRUE</t>
  </si>
  <si>
    <t>FALSE</t>
  </si>
  <si>
    <t>Suspenso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</si>
</sst>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* #,##0.00_-;\-&quot;R$&quot;* #,##0.00_-;_-&quot;R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6"/>
      <color theme="1"/>
      <name val="Trebuchet MS"/>
      <family val="2"/>
    </font>
    <font>
      <sz val="9"/>
      <color theme="1" tint="0.34998626667073579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Trebuchet MS"/>
      <family val="2"/>
    </font>
    <font>
      <i/>
      <sz val="10"/>
      <color theme="1" tint="0.499984740745262"/>
      <name val="Trebuchet MS"/>
      <family val="2"/>
    </font>
    <font>
      <b/>
      <i/>
      <sz val="11"/>
      <name val="Trebuchet MS"/>
      <family val="2"/>
    </font>
    <font>
      <sz val="12"/>
      <color theme="1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3" borderId="0" xfId="0" applyFill="1"/>
    <xf numFmtId="0" fontId="0" fillId="0" borderId="1" xfId="0" applyBorder="1"/>
    <xf numFmtId="0" fontId="0" fillId="4" borderId="1" xfId="0" applyFill="1" applyBorder="1"/>
    <xf numFmtId="0" fontId="0" fillId="2" borderId="1" xfId="0" applyFill="1" applyBorder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Fill="1" applyBorder="1"/>
    <xf numFmtId="16" fontId="0" fillId="0" borderId="0" xfId="0" applyNumberFormat="1"/>
    <xf numFmtId="0" fontId="4" fillId="0" borderId="0" xfId="0" applyFont="1"/>
    <xf numFmtId="3" fontId="0" fillId="0" borderId="0" xfId="0" applyNumberFormat="1"/>
    <xf numFmtId="44" fontId="0" fillId="0" borderId="0" xfId="1" applyFont="1"/>
    <xf numFmtId="44" fontId="5" fillId="0" borderId="0" xfId="1" applyFont="1" applyAlignment="1">
      <alignment horizontal="right"/>
    </xf>
    <xf numFmtId="0" fontId="5" fillId="0" borderId="0" xfId="0" applyFont="1" applyAlignment="1">
      <alignment horizontal="left" indent="1"/>
    </xf>
    <xf numFmtId="16" fontId="0" fillId="0" borderId="0" xfId="0" applyNumberFormat="1" applyAlignment="1">
      <alignment horizontal="left"/>
    </xf>
    <xf numFmtId="9" fontId="0" fillId="0" borderId="0" xfId="0" applyNumberFormat="1"/>
    <xf numFmtId="0" fontId="6" fillId="0" borderId="2" xfId="0" quotePrefix="1" applyFont="1" applyBorder="1"/>
    <xf numFmtId="0" fontId="0" fillId="0" borderId="3" xfId="0" applyBorder="1"/>
    <xf numFmtId="4" fontId="0" fillId="0" borderId="0" xfId="0" applyNumberFormat="1"/>
    <xf numFmtId="0" fontId="0" fillId="0" borderId="0" xfId="0" applyAlignment="1">
      <alignment horizontal="left" indent="2"/>
    </xf>
    <xf numFmtId="0" fontId="0" fillId="0" borderId="5" xfId="0" applyBorder="1"/>
    <xf numFmtId="0" fontId="0" fillId="0" borderId="4" xfId="0" pivotButton="1" applyBorder="1"/>
    <xf numFmtId="0" fontId="0" fillId="0" borderId="6" xfId="0" applyBorder="1"/>
    <xf numFmtId="0" fontId="0" fillId="0" borderId="0" xfId="0" applyAlignment="1">
      <alignment horizontal="center"/>
    </xf>
    <xf numFmtId="0" fontId="7" fillId="0" borderId="0" xfId="0" applyFont="1" applyFill="1"/>
    <xf numFmtId="44" fontId="0" fillId="0" borderId="0" xfId="0" applyNumberFormat="1"/>
    <xf numFmtId="14" fontId="0" fillId="0" borderId="0" xfId="0" applyNumberFormat="1"/>
    <xf numFmtId="0" fontId="9" fillId="0" borderId="3" xfId="0" applyFont="1" applyBorder="1" applyAlignment="1">
      <alignment horizontal="left" indent="1"/>
    </xf>
    <xf numFmtId="0" fontId="9" fillId="0" borderId="7" xfId="0" applyFont="1" applyBorder="1" applyAlignment="1">
      <alignment horizontal="left" indent="1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10" fillId="0" borderId="8" xfId="0" applyFont="1" applyFill="1" applyBorder="1" applyAlignment="1">
      <alignment horizontal="left" indent="1"/>
    </xf>
    <xf numFmtId="0" fontId="10" fillId="0" borderId="9" xfId="0" applyFont="1" applyFill="1" applyBorder="1" applyAlignment="1">
      <alignment horizontal="left"/>
    </xf>
    <xf numFmtId="0" fontId="8" fillId="0" borderId="10" xfId="0" applyFont="1" applyBorder="1"/>
    <xf numFmtId="0" fontId="8" fillId="0" borderId="11" xfId="0" applyFont="1" applyBorder="1" applyAlignment="1">
      <alignment horizontal="left"/>
    </xf>
    <xf numFmtId="0" fontId="8" fillId="0" borderId="8" xfId="0" applyFont="1" applyBorder="1"/>
    <xf numFmtId="0" fontId="11" fillId="0" borderId="0" xfId="0" applyNumberFormat="1" applyFont="1" applyBorder="1"/>
  </cellXfs>
  <cellStyles count="2">
    <cellStyle name="Moeda" xfId="1" builtinId="4"/>
    <cellStyle name="Normal" xfId="0" builtinId="0"/>
  </cellStyles>
  <dxfs count="32">
    <dxf>
      <border>
        <left/>
        <right/>
        <top/>
        <bottom/>
      </border>
    </dxf>
    <dxf>
      <font>
        <sz val="12"/>
      </font>
    </dxf>
    <dxf>
      <font>
        <name val="Trebuchet MS"/>
        <scheme val="none"/>
      </font>
    </dxf>
    <dxf>
      <numFmt numFmtId="12" formatCode="&quot;R$&quot;#,##0.00;[Red]\-&quot;R$&quot;#,##0.00"/>
    </dxf>
    <dxf>
      <numFmt numFmtId="12" formatCode="&quot;R$&quot;#,##0.00;[Red]\-&quot;R$&quot;#,##0.00"/>
    </dxf>
    <dxf>
      <alignment horizontal="center" readingOrder="0"/>
    </dxf>
    <dxf>
      <alignment horizontal="center" readingOrder="0"/>
    </dxf>
    <dxf>
      <fill>
        <patternFill>
          <bgColor auto="1"/>
        </patternFill>
      </fill>
    </dxf>
    <dxf>
      <font>
        <color theme="0"/>
      </font>
    </dxf>
    <dxf>
      <numFmt numFmtId="34" formatCode="_-&quot;R$&quot;* #,##0.00_-;\-&quot;R$&quot;* #,##0.00_-;_-&quot;R$&quot;* &quot;-&quot;??_-;_-@_-"/>
    </dxf>
    <dxf>
      <font>
        <b/>
        <sz val="11"/>
        <color theme="1"/>
      </font>
    </dxf>
    <dxf>
      <font>
        <color rgb="FF33CC33"/>
        <name val="Calibri"/>
        <scheme val="minor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1" defaultTableStyle="TableStyleMedium2" defaultPivotStyle="PivotStyleLight16">
    <tableStyle name="Estilo de Linha do Tempo 1" pivot="0" table="0" count="8">
      <tableStyleElement type="wholeTable" dxfId="11"/>
      <tableStyleElement type="headerRow" dxfId="10"/>
    </tableStyle>
  </tableStyles>
  <colors>
    <mruColors>
      <color rgb="FF33CC33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6"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Linha do Tempo 1">
          <x15:timelineStyleElements>
            <x15:timelineStyleElement type="selectionLabel" dxfId="3"/>
            <x15:timelineStyleElement type="timeLevel" dxfId="2"/>
            <x15:timelineStyleElement type="periodLabel1" dxfId="1"/>
            <x15:timelineStyleElement type="periodLabel2" dxfId="0"/>
            <x15:timelineStyleElement type="selectedTimeBlock" dxfId="5"/>
            <x15:timelineStyleElement type="unselectedTimeBlock" dxfId="4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9" Type="http://schemas.microsoft.com/office/2011/relationships/timelineCache" Target="timelineCaches/timelineCache3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10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7/relationships/slicerCache" Target="slicerCaches/slicerCache8.xml"/><Relationship Id="rId37" Type="http://schemas.microsoft.com/office/2011/relationships/timelineCache" Target="timelineCaches/timelineCache1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7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11/relationships/timelineCache" Target="timelineCaches/timelineCache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v3.xltm]Apoio Ops!PT_TEG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TEG de Novas</a:t>
            </a:r>
            <a:r>
              <a:rPr lang="en-US" baseline="0"/>
              <a:t> Operações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bg1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'Apoio Ops'!$B$1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'Apoio Ops'!$A$2:$A$4</c:f>
              <c:strCache>
                <c:ptCount val="2"/>
                <c:pt idx="0">
                  <c:v>W</c:v>
                </c:pt>
                <c:pt idx="1">
                  <c:v>Z</c:v>
                </c:pt>
              </c:strCache>
            </c:strRef>
          </c:cat>
          <c:val>
            <c:numRef>
              <c:f>'Apoio Ops'!$B$2:$B$4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9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v3.xltm]Apoio Ops!PT_Particularidades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Particularidades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6601444132788124E-2"/>
              <c:y val="-0.1346124707384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2074842576008471E-2"/>
              <c:y val="-0.127405263531247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'Apoio Ops'!$E$1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1.6601444132788124E-2"/>
                  <c:y val="-0.13461247073845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2074842576008471E-2"/>
                  <c:y val="-0.1274052635312477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'Apoio Ops'!$D$2:$D$4</c:f>
              <c:strCache>
                <c:ptCount val="2"/>
                <c:pt idx="0">
                  <c:v>Exigido Percentual</c:v>
                </c:pt>
                <c:pt idx="1">
                  <c:v>Geral</c:v>
                </c:pt>
              </c:strCache>
            </c:strRef>
          </c:cat>
          <c:val>
            <c:numRef>
              <c:f>'Apoio Ops'!$E$2:$E$4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[Dash v3.xltm]Apoio Ops!PT_Origem_Solicitação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Origem</a:t>
            </a:r>
            <a:r>
              <a:rPr lang="en-US" baseline="0"/>
              <a:t> da Solicitação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481237277127402"/>
          <c:y val="0.23978274551109527"/>
          <c:w val="0.43682127603629634"/>
          <c:h val="0.76021725448890476"/>
        </c:manualLayout>
      </c:layout>
      <c:pieChart>
        <c:varyColors val="1"/>
        <c:ser>
          <c:idx val="0"/>
          <c:order val="0"/>
          <c:tx>
            <c:strRef>
              <c:f>'Apoio Ops'!$H$1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'Apoio Ops'!$G$2:$G$5</c:f>
              <c:strCache>
                <c:ptCount val="3"/>
                <c:pt idx="0">
                  <c:v>Backoffice Produtos</c:v>
                </c:pt>
                <c:pt idx="1">
                  <c:v>Comercial MM</c:v>
                </c:pt>
                <c:pt idx="2">
                  <c:v>Middle Office</c:v>
                </c:pt>
              </c:strCache>
            </c:strRef>
          </c:cat>
          <c:val>
            <c:numRef>
              <c:f>'Apoio Ops'!$H$2:$H$5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 v3.xltm]Apoio Ops!Tabela dinâmica9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Consultas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2002727610714375"/>
          <c:y val="0.22456801708076646"/>
          <c:w val="0.46734079574923704"/>
          <c:h val="0.71728883630478835"/>
        </c:manualLayout>
      </c:layout>
      <c:pieChart>
        <c:varyColors val="1"/>
        <c:ser>
          <c:idx val="0"/>
          <c:order val="0"/>
          <c:tx>
            <c:strRef>
              <c:f>'Apoio Ops'!$K$1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'Apoio Ops'!$J$2:$J$4</c:f>
              <c:strCache>
                <c:ptCount val="2"/>
                <c:pt idx="0">
                  <c:v>Envio de Posição</c:v>
                </c:pt>
                <c:pt idx="1">
                  <c:v>Convênio</c:v>
                </c:pt>
              </c:strCache>
            </c:strRef>
          </c:cat>
          <c:val>
            <c:numRef>
              <c:f>'Apoio Ops'!$K$2:$K$4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Segmento!PT_Esteira_Vol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Segmento'!$B$1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Segmento'!$A$2:$A$4</c:f>
              <c:strCache>
                <c:ptCount val="2"/>
                <c:pt idx="0">
                  <c:v>CLU</c:v>
                </c:pt>
                <c:pt idx="1">
                  <c:v>MM</c:v>
                </c:pt>
              </c:strCache>
            </c:strRef>
          </c:cat>
          <c:val>
            <c:numRef>
              <c:f>'PT Segmento'!$B$2:$B$4</c:f>
              <c:numCache>
                <c:formatCode>General</c:formatCode>
                <c:ptCount val="2"/>
                <c:pt idx="0">
                  <c:v>27</c:v>
                </c:pt>
                <c:pt idx="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240301168"/>
        <c:axId val="1240304432"/>
      </c:barChart>
      <c:lineChart>
        <c:grouping val="standard"/>
        <c:varyColors val="0"/>
        <c:ser>
          <c:idx val="1"/>
          <c:order val="1"/>
          <c:tx>
            <c:strRef>
              <c:f>'PT Segmento'!$C$1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Segmento'!$A$2:$A$4</c:f>
              <c:strCache>
                <c:ptCount val="2"/>
                <c:pt idx="0">
                  <c:v>CLU</c:v>
                </c:pt>
                <c:pt idx="1">
                  <c:v>MM</c:v>
                </c:pt>
              </c:strCache>
            </c:strRef>
          </c:cat>
          <c:val>
            <c:numRef>
              <c:f>'PT Segmento'!$C$2:$C$4</c:f>
              <c:numCache>
                <c:formatCode>0%</c:formatCode>
                <c:ptCount val="2"/>
                <c:pt idx="0">
                  <c:v>0.92592592592592593</c:v>
                </c:pt>
                <c:pt idx="1">
                  <c:v>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398464"/>
        <c:axId val="1237397376"/>
      </c:lineChart>
      <c:catAx>
        <c:axId val="124030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304432"/>
        <c:crosses val="autoZero"/>
        <c:auto val="1"/>
        <c:lblAlgn val="ctr"/>
        <c:lblOffset val="100"/>
        <c:noMultiLvlLbl val="0"/>
      </c:catAx>
      <c:valAx>
        <c:axId val="1240304432"/>
        <c:scaling>
          <c:orientation val="minMax"/>
          <c:max val="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301168"/>
        <c:crosses val="autoZero"/>
        <c:crossBetween val="between"/>
      </c:valAx>
      <c:valAx>
        <c:axId val="12373973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7398464"/>
        <c:crosses val="max"/>
        <c:crossBetween val="between"/>
      </c:valAx>
      <c:catAx>
        <c:axId val="123739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7397376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Tipos de Garantia!PT_TipoGar_Vol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ln w="28575" cap="rnd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Tipos de Garantia'!$B$1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Tipos de Garantia'!$A$2:$A$7</c:f>
              <c:strCache>
                <c:ptCount val="5"/>
                <c:pt idx="0">
                  <c:v>Aplicações</c:v>
                </c:pt>
                <c:pt idx="1">
                  <c:v>Cartões</c:v>
                </c:pt>
                <c:pt idx="2">
                  <c:v>DC</c:v>
                </c:pt>
                <c:pt idx="3">
                  <c:v>Duplicatas</c:v>
                </c:pt>
                <c:pt idx="4">
                  <c:v>Imóveis</c:v>
                </c:pt>
              </c:strCache>
            </c:strRef>
          </c:cat>
          <c:val>
            <c:numRef>
              <c:f>'PT Tipos de Garantia'!$B$2:$B$7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12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1237401184"/>
        <c:axId val="1237387584"/>
      </c:barChart>
      <c:lineChart>
        <c:grouping val="standard"/>
        <c:varyColors val="0"/>
        <c:ser>
          <c:idx val="1"/>
          <c:order val="1"/>
          <c:tx>
            <c:strRef>
              <c:f>'PT Tipos de Garantia'!$C$1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Tipos de Garantia'!$A$2:$A$7</c:f>
              <c:strCache>
                <c:ptCount val="5"/>
                <c:pt idx="0">
                  <c:v>Aplicações</c:v>
                </c:pt>
                <c:pt idx="1">
                  <c:v>Cartões</c:v>
                </c:pt>
                <c:pt idx="2">
                  <c:v>DC</c:v>
                </c:pt>
                <c:pt idx="3">
                  <c:v>Duplicatas</c:v>
                </c:pt>
                <c:pt idx="4">
                  <c:v>Imóveis</c:v>
                </c:pt>
              </c:strCache>
            </c:strRef>
          </c:cat>
          <c:val>
            <c:numRef>
              <c:f>'PT Tipos de Garantia'!$C$2:$C$7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0.75</c:v>
                </c:pt>
                <c:pt idx="4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52715952"/>
        <c:axId val="1252721392"/>
      </c:lineChart>
      <c:catAx>
        <c:axId val="123740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7387584"/>
        <c:crosses val="autoZero"/>
        <c:auto val="1"/>
        <c:lblAlgn val="ctr"/>
        <c:lblOffset val="100"/>
        <c:noMultiLvlLbl val="0"/>
      </c:catAx>
      <c:valAx>
        <c:axId val="1237387584"/>
        <c:scaling>
          <c:orientation val="minMax"/>
          <c:max val="3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7401184"/>
        <c:crosses val="autoZero"/>
        <c:crossBetween val="between"/>
      </c:valAx>
      <c:valAx>
        <c:axId val="12527213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5952"/>
        <c:crosses val="max"/>
        <c:crossBetween val="between"/>
      </c:valAx>
      <c:catAx>
        <c:axId val="125271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2721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Esteira+Coord!PT_Esteira_Vol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ln w="28575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Esteira+Coord'!$B$1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Esteira+Coord'!$A$2:$A$11</c:f>
              <c:multiLvlStrCache>
                <c:ptCount val="6"/>
                <c:lvl>
                  <c:pt idx="0">
                    <c:v>Inclusão</c:v>
                  </c:pt>
                  <c:pt idx="1">
                    <c:v>Conciliação</c:v>
                  </c:pt>
                  <c:pt idx="2">
                    <c:v>Composição</c:v>
                  </c:pt>
                  <c:pt idx="3">
                    <c:v>Relatórios</c:v>
                  </c:pt>
                  <c:pt idx="4">
                    <c:v>Liberação</c:v>
                  </c:pt>
                  <c:pt idx="5">
                    <c:v>Atendimento</c:v>
                  </c:pt>
                </c:lvl>
                <c:lvl>
                  <c:pt idx="0">
                    <c:v>Coord 1</c:v>
                  </c:pt>
                  <c:pt idx="2">
                    <c:v>Coord 2</c:v>
                  </c:pt>
                  <c:pt idx="4">
                    <c:v>Coord 3</c:v>
                  </c:pt>
                </c:lvl>
              </c:multiLvlStrCache>
            </c:multiLvlStrRef>
          </c:cat>
          <c:val>
            <c:numRef>
              <c:f>'PT Esteira+Coord'!$B$2:$B$11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20</c:v>
                </c:pt>
                <c:pt idx="5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252714320"/>
        <c:axId val="1252720848"/>
      </c:barChart>
      <c:lineChart>
        <c:grouping val="standard"/>
        <c:varyColors val="0"/>
        <c:ser>
          <c:idx val="1"/>
          <c:order val="1"/>
          <c:tx>
            <c:strRef>
              <c:f>'PT Esteira+Coord'!$C$1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Esteira+Coord'!$A$2:$A$11</c:f>
              <c:multiLvlStrCache>
                <c:ptCount val="6"/>
                <c:lvl>
                  <c:pt idx="0">
                    <c:v>Inclusão</c:v>
                  </c:pt>
                  <c:pt idx="1">
                    <c:v>Conciliação</c:v>
                  </c:pt>
                  <c:pt idx="2">
                    <c:v>Composição</c:v>
                  </c:pt>
                  <c:pt idx="3">
                    <c:v>Relatórios</c:v>
                  </c:pt>
                  <c:pt idx="4">
                    <c:v>Liberação</c:v>
                  </c:pt>
                  <c:pt idx="5">
                    <c:v>Atendimento</c:v>
                  </c:pt>
                </c:lvl>
                <c:lvl>
                  <c:pt idx="0">
                    <c:v>Coord 1</c:v>
                  </c:pt>
                  <c:pt idx="2">
                    <c:v>Coord 2</c:v>
                  </c:pt>
                  <c:pt idx="4">
                    <c:v>Coord 3</c:v>
                  </c:pt>
                </c:lvl>
              </c:multiLvlStrCache>
            </c:multiLvlStrRef>
          </c:cat>
          <c:val>
            <c:numRef>
              <c:f>'PT Esteira+Coord'!$C$2:$C$11</c:f>
              <c:numCache>
                <c:formatCode>0%</c:formatCode>
                <c:ptCount val="6"/>
                <c:pt idx="0">
                  <c:v>0.7142857142857143</c:v>
                </c:pt>
                <c:pt idx="1">
                  <c:v>0.75</c:v>
                </c:pt>
                <c:pt idx="2">
                  <c:v>1</c:v>
                </c:pt>
                <c:pt idx="3">
                  <c:v>1</c:v>
                </c:pt>
                <c:pt idx="4">
                  <c:v>0.95</c:v>
                </c:pt>
                <c:pt idx="5">
                  <c:v>0.875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716496"/>
        <c:axId val="1252718128"/>
      </c:lineChart>
      <c:catAx>
        <c:axId val="125271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20848"/>
        <c:crosses val="autoZero"/>
        <c:auto val="1"/>
        <c:lblAlgn val="ctr"/>
        <c:lblOffset val="100"/>
        <c:noMultiLvlLbl val="0"/>
      </c:catAx>
      <c:valAx>
        <c:axId val="1252720848"/>
        <c:scaling>
          <c:orientation val="minMax"/>
          <c:max val="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4320"/>
        <c:crosses val="autoZero"/>
        <c:crossBetween val="between"/>
      </c:valAx>
      <c:valAx>
        <c:axId val="1252718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6496"/>
        <c:crosses val="max"/>
        <c:crossBetween val="between"/>
      </c:valAx>
      <c:catAx>
        <c:axId val="125271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2718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Tempo!PT_Esteira_Vol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Tempo'!$B$1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Tempo'!$A$2:$A$11</c:f>
              <c:strCache>
                <c:ptCount val="9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</c:strCache>
            </c:strRef>
          </c:cat>
          <c:val>
            <c:numRef>
              <c:f>'PT Tempo'!$B$2:$B$11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1252707792"/>
        <c:axId val="1252722480"/>
      </c:barChart>
      <c:lineChart>
        <c:grouping val="standard"/>
        <c:varyColors val="0"/>
        <c:ser>
          <c:idx val="1"/>
          <c:order val="1"/>
          <c:tx>
            <c:strRef>
              <c:f>'PT Tempo'!$C$1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Tempo'!$A$2:$A$11</c:f>
              <c:strCache>
                <c:ptCount val="9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</c:strCache>
            </c:strRef>
          </c:cat>
          <c:val>
            <c:numRef>
              <c:f>'PT Tempo'!$C$2:$C$11</c:f>
              <c:numCache>
                <c:formatCode>0%</c:formatCode>
                <c:ptCount val="9"/>
                <c:pt idx="0">
                  <c:v>0.8</c:v>
                </c:pt>
                <c:pt idx="1">
                  <c:v>0.88888888888888884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0.6</c:v>
                </c:pt>
                <c:pt idx="6">
                  <c:v>1</c:v>
                </c:pt>
                <c:pt idx="7">
                  <c:v>0.8571428571428571</c:v>
                </c:pt>
                <c:pt idx="8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52712144"/>
        <c:axId val="1252719760"/>
      </c:lineChart>
      <c:catAx>
        <c:axId val="125270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22480"/>
        <c:crosses val="autoZero"/>
        <c:auto val="1"/>
        <c:lblAlgn val="ctr"/>
        <c:lblOffset val="100"/>
        <c:noMultiLvlLbl val="0"/>
      </c:catAx>
      <c:valAx>
        <c:axId val="1252722480"/>
        <c:scaling>
          <c:orientation val="minMax"/>
          <c:max val="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07792"/>
        <c:crosses val="autoZero"/>
        <c:crossBetween val="between"/>
      </c:valAx>
      <c:valAx>
        <c:axId val="12527197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2144"/>
        <c:crosses val="max"/>
        <c:crossBetween val="between"/>
      </c:valAx>
      <c:catAx>
        <c:axId val="1252712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2719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Esteira+Coord!PT_Fluxo_Vol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plus"/>
          <c:size val="5"/>
          <c:spPr>
            <a:noFill/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Esteira+Coord'!$I$1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Esteira+Coord'!$H$2:$H$31</c:f>
              <c:multiLvlStrCache>
                <c:ptCount val="20"/>
                <c:lvl>
                  <c:pt idx="0">
                    <c:v>Reassociação de Veículos</c:v>
                  </c:pt>
                  <c:pt idx="1">
                    <c:v>Trava (E-mail Fora do Padrão)</c:v>
                  </c:pt>
                  <c:pt idx="2">
                    <c:v>Trava (E-mail Padrão)</c:v>
                  </c:pt>
                  <c:pt idx="3">
                    <c:v>Inclusão de Operação</c:v>
                  </c:pt>
                  <c:pt idx="4">
                    <c:v>Fechamento</c:v>
                  </c:pt>
                  <c:pt idx="5">
                    <c:v>Composição Sem Liberação</c:v>
                  </c:pt>
                  <c:pt idx="6">
                    <c:v>Relatório</c:v>
                  </c:pt>
                  <c:pt idx="7">
                    <c:v>Antecipação de Recebíveis</c:v>
                  </c:pt>
                  <c:pt idx="8">
                    <c:v>Desbloqueio</c:v>
                  </c:pt>
                  <c:pt idx="9">
                    <c:v>Destrava</c:v>
                  </c:pt>
                  <c:pt idx="10">
                    <c:v>Emissão de Termo de Liberação</c:v>
                  </c:pt>
                  <c:pt idx="11">
                    <c:v>Liberação de Instrução</c:v>
                  </c:pt>
                  <c:pt idx="12">
                    <c:v>Liberação Pontual de Recursos</c:v>
                  </c:pt>
                  <c:pt idx="13">
                    <c:v>Liberação Pontual de Recursos (Portal TEF)</c:v>
                  </c:pt>
                  <c:pt idx="14">
                    <c:v>Liberação via Módulo</c:v>
                  </c:pt>
                  <c:pt idx="15">
                    <c:v>Pagamentos e Despesas</c:v>
                  </c:pt>
                  <c:pt idx="16">
                    <c:v>Confirmação de Utilização de Conta</c:v>
                  </c:pt>
                  <c:pt idx="17">
                    <c:v>Consultas</c:v>
                  </c:pt>
                  <c:pt idx="18">
                    <c:v>Dúvidas</c:v>
                  </c:pt>
                  <c:pt idx="19">
                    <c:v>Tratamento de GECOV</c:v>
                  </c:pt>
                </c:lvl>
                <c:lvl>
                  <c:pt idx="0">
                    <c:v>Inclusão</c:v>
                  </c:pt>
                  <c:pt idx="4">
                    <c:v>Conciliação</c:v>
                  </c:pt>
                  <c:pt idx="5">
                    <c:v>Composição</c:v>
                  </c:pt>
                  <c:pt idx="6">
                    <c:v>Relatórios</c:v>
                  </c:pt>
                  <c:pt idx="7">
                    <c:v>Liberação</c:v>
                  </c:pt>
                  <c:pt idx="16">
                    <c:v>Atendimento</c:v>
                  </c:pt>
                </c:lvl>
                <c:lvl>
                  <c:pt idx="0">
                    <c:v>Coord 1</c:v>
                  </c:pt>
                  <c:pt idx="5">
                    <c:v>Coord 2</c:v>
                  </c:pt>
                  <c:pt idx="7">
                    <c:v>Coord 3</c:v>
                  </c:pt>
                </c:lvl>
              </c:multiLvlStrCache>
            </c:multiLvlStrRef>
          </c:cat>
          <c:val>
            <c:numRef>
              <c:f>'PT Esteira+Coord'!$I$2:$I$31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252708336"/>
        <c:axId val="1252712688"/>
      </c:barChart>
      <c:lineChart>
        <c:grouping val="standard"/>
        <c:varyColors val="0"/>
        <c:ser>
          <c:idx val="1"/>
          <c:order val="1"/>
          <c:tx>
            <c:strRef>
              <c:f>'PT Esteira+Coord'!$J$1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Esteira+Coord'!$H$2:$H$31</c:f>
              <c:multiLvlStrCache>
                <c:ptCount val="20"/>
                <c:lvl>
                  <c:pt idx="0">
                    <c:v>Reassociação de Veículos</c:v>
                  </c:pt>
                  <c:pt idx="1">
                    <c:v>Trava (E-mail Fora do Padrão)</c:v>
                  </c:pt>
                  <c:pt idx="2">
                    <c:v>Trava (E-mail Padrão)</c:v>
                  </c:pt>
                  <c:pt idx="3">
                    <c:v>Inclusão de Operação</c:v>
                  </c:pt>
                  <c:pt idx="4">
                    <c:v>Fechamento</c:v>
                  </c:pt>
                  <c:pt idx="5">
                    <c:v>Composição Sem Liberação</c:v>
                  </c:pt>
                  <c:pt idx="6">
                    <c:v>Relatório</c:v>
                  </c:pt>
                  <c:pt idx="7">
                    <c:v>Antecipação de Recebíveis</c:v>
                  </c:pt>
                  <c:pt idx="8">
                    <c:v>Desbloqueio</c:v>
                  </c:pt>
                  <c:pt idx="9">
                    <c:v>Destrava</c:v>
                  </c:pt>
                  <c:pt idx="10">
                    <c:v>Emissão de Termo de Liberação</c:v>
                  </c:pt>
                  <c:pt idx="11">
                    <c:v>Liberação de Instrução</c:v>
                  </c:pt>
                  <c:pt idx="12">
                    <c:v>Liberação Pontual de Recursos</c:v>
                  </c:pt>
                  <c:pt idx="13">
                    <c:v>Liberação Pontual de Recursos (Portal TEF)</c:v>
                  </c:pt>
                  <c:pt idx="14">
                    <c:v>Liberação via Módulo</c:v>
                  </c:pt>
                  <c:pt idx="15">
                    <c:v>Pagamentos e Despesas</c:v>
                  </c:pt>
                  <c:pt idx="16">
                    <c:v>Confirmação de Utilização de Conta</c:v>
                  </c:pt>
                  <c:pt idx="17">
                    <c:v>Consultas</c:v>
                  </c:pt>
                  <c:pt idx="18">
                    <c:v>Dúvidas</c:v>
                  </c:pt>
                  <c:pt idx="19">
                    <c:v>Tratamento de GECOV</c:v>
                  </c:pt>
                </c:lvl>
                <c:lvl>
                  <c:pt idx="0">
                    <c:v>Inclusão</c:v>
                  </c:pt>
                  <c:pt idx="4">
                    <c:v>Conciliação</c:v>
                  </c:pt>
                  <c:pt idx="5">
                    <c:v>Composição</c:v>
                  </c:pt>
                  <c:pt idx="6">
                    <c:v>Relatórios</c:v>
                  </c:pt>
                  <c:pt idx="7">
                    <c:v>Liberação</c:v>
                  </c:pt>
                  <c:pt idx="16">
                    <c:v>Atendimento</c:v>
                  </c:pt>
                </c:lvl>
                <c:lvl>
                  <c:pt idx="0">
                    <c:v>Coord 1</c:v>
                  </c:pt>
                  <c:pt idx="5">
                    <c:v>Coord 2</c:v>
                  </c:pt>
                  <c:pt idx="7">
                    <c:v>Coord 3</c:v>
                  </c:pt>
                </c:lvl>
              </c:multiLvlStrCache>
            </c:multiLvlStrRef>
          </c:cat>
          <c:val>
            <c:numRef>
              <c:f>'PT Esteira+Coord'!$J$2:$J$31</c:f>
              <c:numCache>
                <c:formatCode>0%</c:formatCode>
                <c:ptCount val="20"/>
                <c:pt idx="0">
                  <c:v>0.33333333333333331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0.5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0.66666666666666663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723024"/>
        <c:axId val="1252720304"/>
      </c:lineChart>
      <c:catAx>
        <c:axId val="125270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2688"/>
        <c:crosses val="autoZero"/>
        <c:auto val="1"/>
        <c:lblAlgn val="ctr"/>
        <c:lblOffset val="100"/>
        <c:noMultiLvlLbl val="0"/>
      </c:catAx>
      <c:valAx>
        <c:axId val="1252712688"/>
        <c:scaling>
          <c:orientation val="minMax"/>
          <c:max val="1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08336"/>
        <c:crosses val="autoZero"/>
        <c:crossBetween val="between"/>
      </c:valAx>
      <c:valAx>
        <c:axId val="1252720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23024"/>
        <c:crosses val="max"/>
        <c:crossBetween val="between"/>
      </c:valAx>
      <c:catAx>
        <c:axId val="1252723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2720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Tipos de Garantia!PT_TipoGar_Vol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'PT Tipos de Garantia'!$B$1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'PT Tipos de Garantia'!$A$2:$A$7</c:f>
              <c:strCache>
                <c:ptCount val="5"/>
                <c:pt idx="0">
                  <c:v>Aplicações</c:v>
                </c:pt>
                <c:pt idx="1">
                  <c:v>Cartões</c:v>
                </c:pt>
                <c:pt idx="2">
                  <c:v>DC</c:v>
                </c:pt>
                <c:pt idx="3">
                  <c:v>Duplicatas</c:v>
                </c:pt>
                <c:pt idx="4">
                  <c:v>Imóveis</c:v>
                </c:pt>
              </c:strCache>
            </c:strRef>
          </c:cat>
          <c:val>
            <c:numRef>
              <c:f>'PT Tipos de Garantia'!$B$2:$B$7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12</c:v>
                </c:pt>
                <c:pt idx="4">
                  <c:v>2</c:v>
                </c:pt>
              </c:numCache>
            </c:numRef>
          </c:val>
        </c:ser>
        <c:ser>
          <c:idx val="1"/>
          <c:order val="1"/>
          <c:tx>
            <c:strRef>
              <c:f>'PT Tipos de Garantia'!$C$1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'PT Tipos de Garantia'!$A$2:$A$7</c:f>
              <c:strCache>
                <c:ptCount val="5"/>
                <c:pt idx="0">
                  <c:v>Aplicações</c:v>
                </c:pt>
                <c:pt idx="1">
                  <c:v>Cartões</c:v>
                </c:pt>
                <c:pt idx="2">
                  <c:v>DC</c:v>
                </c:pt>
                <c:pt idx="3">
                  <c:v>Duplicatas</c:v>
                </c:pt>
                <c:pt idx="4">
                  <c:v>Imóveis</c:v>
                </c:pt>
              </c:strCache>
            </c:strRef>
          </c:cat>
          <c:val>
            <c:numRef>
              <c:f>'PT Tipos de Garantia'!$C$2:$C$7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0.75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2717584"/>
        <c:axId val="1252708880"/>
      </c:barChart>
      <c:valAx>
        <c:axId val="12527088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Volume de Demandas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7584"/>
        <c:crosses val="max"/>
        <c:crossBetween val="between"/>
      </c:valAx>
      <c:catAx>
        <c:axId val="125271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08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5400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tx2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3"/>
          <c:order val="3"/>
          <c:tx>
            <c:v>No Prazo - Contagem de ID Chamado2</c:v>
          </c:tx>
          <c:spPr>
            <a:solidFill>
              <a:schemeClr val="accent4"/>
            </a:solidFill>
            <a:ln w="25400">
              <a:solidFill>
                <a:schemeClr val="tx2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</c:strLit>
          </c:cat>
          <c:val>
            <c:numLit>
              <c:formatCode>General</c:formatCode>
              <c:ptCount val="9"/>
              <c:pt idx="0">
                <c:v>4</c:v>
              </c:pt>
              <c:pt idx="1">
                <c:v>4</c:v>
              </c:pt>
              <c:pt idx="2">
                <c:v>2</c:v>
              </c:pt>
              <c:pt idx="3">
                <c:v>3</c:v>
              </c:pt>
              <c:pt idx="4">
                <c:v>2</c:v>
              </c:pt>
              <c:pt idx="5">
                <c:v>1</c:v>
              </c:pt>
              <c:pt idx="6">
                <c:v>4</c:v>
              </c:pt>
              <c:pt idx="7">
                <c:v>6</c:v>
              </c:pt>
              <c:pt idx="8">
                <c:v>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709424"/>
        <c:axId val="1252711600"/>
      </c:barChart>
      <c:lineChart>
        <c:grouping val="standard"/>
        <c:varyColors val="0"/>
        <c:ser>
          <c:idx val="0"/>
          <c:order val="0"/>
          <c:tx>
            <c:v>Série1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Lit>
              <c:ptCount val="9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</c:strLit>
          </c:cat>
          <c:val>
            <c:numLit>
              <c:formatCode>General</c:formatCode>
              <c:ptCount val="9"/>
              <c:pt idx="0">
                <c:v>0.2</c:v>
              </c:pt>
              <c:pt idx="1">
                <c:v>0.42857142857142855</c:v>
              </c:pt>
              <c:pt idx="2">
                <c:v>0.5</c:v>
              </c:pt>
              <c:pt idx="3">
                <c:v>0</c:v>
              </c:pt>
              <c:pt idx="4">
                <c:v>0.33333333333333331</c:v>
              </c:pt>
              <c:pt idx="5">
                <c:v>0.8</c:v>
              </c:pt>
              <c:pt idx="6">
                <c:v>0.2</c:v>
              </c:pt>
              <c:pt idx="7">
                <c:v>0.14285714285714285</c:v>
              </c:pt>
              <c:pt idx="8">
                <c:v>0</c:v>
              </c:pt>
            </c:numLit>
          </c:val>
          <c:smooth val="0"/>
        </c:ser>
        <c:ser>
          <c:idx val="1"/>
          <c:order val="1"/>
          <c:tx>
            <c:v>Série2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strLit>
              <c:ptCount val="9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</c:strLit>
          </c:cat>
          <c:val>
            <c:numLit>
              <c:formatCode>General</c:formatCode>
              <c:ptCount val="9"/>
              <c:pt idx="0">
                <c:v>1</c:v>
              </c:pt>
              <c:pt idx="1">
                <c:v>3</c:v>
              </c:pt>
              <c:pt idx="2">
                <c:v>2</c:v>
              </c:pt>
              <c:pt idx="3">
                <c:v>0</c:v>
              </c:pt>
              <c:pt idx="4">
                <c:v>1</c:v>
              </c:pt>
              <c:pt idx="5">
                <c:v>4</c:v>
              </c:pt>
              <c:pt idx="6">
                <c:v>1</c:v>
              </c:pt>
              <c:pt idx="7">
                <c:v>1</c:v>
              </c:pt>
              <c:pt idx="8">
                <c:v>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709424"/>
        <c:axId val="1252711600"/>
      </c:lineChart>
      <c:lineChart>
        <c:grouping val="standard"/>
        <c:varyColors val="0"/>
        <c:ser>
          <c:idx val="2"/>
          <c:order val="2"/>
          <c:tx>
            <c:v>No Prazo - Contagem de ID Chamado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</c:strLit>
          </c:cat>
          <c:val>
            <c:numLit>
              <c:formatCode>General</c:formatCode>
              <c:ptCount val="9"/>
              <c:pt idx="0">
                <c:v>0.8</c:v>
              </c:pt>
              <c:pt idx="1">
                <c:v>0.5714285714285714</c:v>
              </c:pt>
              <c:pt idx="2">
                <c:v>0.5</c:v>
              </c:pt>
              <c:pt idx="3">
                <c:v>1</c:v>
              </c:pt>
              <c:pt idx="4">
                <c:v>0.66666666666666663</c:v>
              </c:pt>
              <c:pt idx="5">
                <c:v>0.2</c:v>
              </c:pt>
              <c:pt idx="6">
                <c:v>0.8</c:v>
              </c:pt>
              <c:pt idx="7">
                <c:v>0.8571428571428571</c:v>
              </c:pt>
              <c:pt idx="8">
                <c:v>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796656"/>
        <c:axId val="1252714864"/>
      </c:lineChart>
      <c:catAx>
        <c:axId val="125270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11600"/>
        <c:crosses val="autoZero"/>
        <c:auto val="1"/>
        <c:lblAlgn val="ctr"/>
        <c:lblOffset val="100"/>
        <c:noMultiLvlLbl val="0"/>
      </c:catAx>
      <c:valAx>
        <c:axId val="125271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2709424"/>
        <c:crosses val="autoZero"/>
        <c:crossBetween val="between"/>
      </c:valAx>
      <c:valAx>
        <c:axId val="1252714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796656"/>
        <c:crosses val="max"/>
        <c:crossBetween val="between"/>
      </c:valAx>
      <c:catAx>
        <c:axId val="1309796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271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Fora do Prazo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1</c:v>
              </c:pt>
            </c:numLit>
          </c:val>
        </c:ser>
        <c:ser>
          <c:idx val="1"/>
          <c:order val="1"/>
          <c:tx>
            <c:v>No Prazo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</c:numLit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09808624"/>
        <c:axId val="1309804272"/>
      </c:barChart>
      <c:catAx>
        <c:axId val="130980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4272"/>
        <c:crosses val="autoZero"/>
        <c:auto val="1"/>
        <c:lblAlgn val="ctr"/>
        <c:lblOffset val="100"/>
        <c:noMultiLvlLbl val="0"/>
      </c:catAx>
      <c:valAx>
        <c:axId val="130980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Série1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1</c:v>
              </c:pt>
            </c:numLit>
          </c:val>
        </c:ser>
        <c:ser>
          <c:idx val="1"/>
          <c:order val="1"/>
          <c:tx>
            <c:v>Série2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</c:numLit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09801008"/>
        <c:axId val="1309801552"/>
      </c:barChart>
      <c:catAx>
        <c:axId val="130980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1552"/>
        <c:crosses val="autoZero"/>
        <c:auto val="1"/>
        <c:lblAlgn val="ctr"/>
        <c:lblOffset val="100"/>
        <c:noMultiLvlLbl val="0"/>
      </c:catAx>
      <c:valAx>
        <c:axId val="13098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Série1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1</c:v>
              </c:pt>
            </c:numLit>
          </c:val>
        </c:ser>
        <c:ser>
          <c:idx val="1"/>
          <c:order val="1"/>
          <c:tx>
            <c:v>Série2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</c:numLit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09802096"/>
        <c:axId val="1309802640"/>
      </c:barChart>
      <c:catAx>
        <c:axId val="130980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2640"/>
        <c:crosses val="autoZero"/>
        <c:auto val="1"/>
        <c:lblAlgn val="ctr"/>
        <c:lblOffset val="100"/>
        <c:noMultiLvlLbl val="0"/>
      </c:catAx>
      <c:valAx>
        <c:axId val="130980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Série1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1</c:v>
              </c:pt>
            </c:numLit>
          </c:val>
        </c:ser>
        <c:ser>
          <c:idx val="1"/>
          <c:order val="1"/>
          <c:tx>
            <c:v>Série2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</c:numLit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09803184"/>
        <c:axId val="1309803728"/>
      </c:barChart>
      <c:catAx>
        <c:axId val="130980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3728"/>
        <c:crosses val="autoZero"/>
        <c:auto val="1"/>
        <c:lblAlgn val="ctr"/>
        <c:lblOffset val="100"/>
        <c:noMultiLvlLbl val="0"/>
      </c:catAx>
      <c:valAx>
        <c:axId val="13098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Série1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3</c:v>
              </c:pt>
              <c:pt idx="2">
                <c:v>0</c:v>
              </c:pt>
              <c:pt idx="3">
                <c:v>1</c:v>
              </c:pt>
            </c:numLit>
          </c:val>
        </c:ser>
        <c:ser>
          <c:idx val="1"/>
          <c:order val="1"/>
          <c:tx>
            <c:v>Série2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Inclusão Alteração de Controle</c:v>
              </c:pt>
              <c:pt idx="1">
                <c:v>Inclusão Reassociação de Veículos</c:v>
              </c:pt>
              <c:pt idx="2">
                <c:v>Inclusão Trava (E-mail Fora do Padrão)</c:v>
              </c:pt>
              <c:pt idx="3">
                <c:v>Inclusão Trava (E-mail Padrão)</c:v>
              </c:pt>
            </c:strLit>
          </c:cat>
          <c:val>
            <c:numLit>
              <c:formatCode>General</c:formatCode>
              <c:ptCount val="4"/>
              <c:pt idx="0">
                <c:v>2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</c:numLit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09796112"/>
        <c:axId val="1309804816"/>
      </c:barChart>
      <c:catAx>
        <c:axId val="130979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4816"/>
        <c:crosses val="autoZero"/>
        <c:auto val="1"/>
        <c:lblAlgn val="ctr"/>
        <c:lblOffset val="100"/>
        <c:noMultiLvlLbl val="0"/>
      </c:catAx>
      <c:valAx>
        <c:axId val="130980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79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v3.xltm]Atendimento!Tabela dinâmica2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Atendimento!$B$3:$B$4</c:f>
              <c:strCache>
                <c:ptCount val="1"/>
                <c:pt idx="0">
                  <c:v>Fora do Prazo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Atendimento!$A$5:$A$11</c:f>
              <c:strCache>
                <c:ptCount val="6"/>
                <c:pt idx="0">
                  <c:v>Atendimento</c:v>
                </c:pt>
                <c:pt idx="1">
                  <c:v>Composição</c:v>
                </c:pt>
                <c:pt idx="2">
                  <c:v>Conciliação</c:v>
                </c:pt>
                <c:pt idx="3">
                  <c:v>Inclusão</c:v>
                </c:pt>
                <c:pt idx="4">
                  <c:v>Liberação</c:v>
                </c:pt>
                <c:pt idx="5">
                  <c:v>Relatórios</c:v>
                </c:pt>
              </c:strCache>
            </c:strRef>
          </c:cat>
          <c:val>
            <c:numRef>
              <c:f>Atendimento!$B$5:$B$11</c:f>
              <c:numCache>
                <c:formatCode>General</c:formatCode>
                <c:ptCount val="6"/>
                <c:pt idx="0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Atendimento!$C$3:$C$4</c:f>
              <c:strCache>
                <c:ptCount val="1"/>
                <c:pt idx="0">
                  <c:v>No Prazo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Atendimento!$A$5:$A$11</c:f>
              <c:strCache>
                <c:ptCount val="6"/>
                <c:pt idx="0">
                  <c:v>Atendimento</c:v>
                </c:pt>
                <c:pt idx="1">
                  <c:v>Composição</c:v>
                </c:pt>
                <c:pt idx="2">
                  <c:v>Conciliação</c:v>
                </c:pt>
                <c:pt idx="3">
                  <c:v>Inclusão</c:v>
                </c:pt>
                <c:pt idx="4">
                  <c:v>Liberação</c:v>
                </c:pt>
                <c:pt idx="5">
                  <c:v>Relatórios</c:v>
                </c:pt>
              </c:strCache>
            </c:strRef>
          </c:cat>
          <c:val>
            <c:numRef>
              <c:f>Atendimento!$C$5:$C$11</c:f>
              <c:numCache>
                <c:formatCode>General</c:formatCode>
                <c:ptCount val="6"/>
                <c:pt idx="0">
                  <c:v>7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19</c:v>
                </c:pt>
                <c:pt idx="5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9805904"/>
        <c:axId val="1309806448"/>
      </c:barChart>
      <c:catAx>
        <c:axId val="130980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6448"/>
        <c:crosses val="autoZero"/>
        <c:auto val="1"/>
        <c:lblAlgn val="ctr"/>
        <c:lblOffset val="100"/>
        <c:noMultiLvlLbl val="0"/>
      </c:catAx>
      <c:valAx>
        <c:axId val="13098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80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Esteira+Coord!PT_Esteira_Vol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ln w="28575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Esteira+Coord'!$B$1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Esteira+Coord'!$A$2:$A$11</c:f>
              <c:multiLvlStrCache>
                <c:ptCount val="6"/>
                <c:lvl>
                  <c:pt idx="0">
                    <c:v>Inclusão</c:v>
                  </c:pt>
                  <c:pt idx="1">
                    <c:v>Conciliação</c:v>
                  </c:pt>
                  <c:pt idx="2">
                    <c:v>Composição</c:v>
                  </c:pt>
                  <c:pt idx="3">
                    <c:v>Relatórios</c:v>
                  </c:pt>
                  <c:pt idx="4">
                    <c:v>Liberação</c:v>
                  </c:pt>
                  <c:pt idx="5">
                    <c:v>Atendimento</c:v>
                  </c:pt>
                </c:lvl>
                <c:lvl>
                  <c:pt idx="0">
                    <c:v>Coord 1</c:v>
                  </c:pt>
                  <c:pt idx="2">
                    <c:v>Coord 2</c:v>
                  </c:pt>
                  <c:pt idx="4">
                    <c:v>Coord 3</c:v>
                  </c:pt>
                </c:lvl>
              </c:multiLvlStrCache>
            </c:multiLvlStrRef>
          </c:cat>
          <c:val>
            <c:numRef>
              <c:f>'PT Esteira+Coord'!$B$2:$B$11</c:f>
              <c:numCache>
                <c:formatCode>General</c:formatCode>
                <c:ptCount val="6"/>
                <c:pt idx="0">
                  <c:v>7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20</c:v>
                </c:pt>
                <c:pt idx="5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309799376"/>
        <c:axId val="1309166640"/>
      </c:barChart>
      <c:lineChart>
        <c:grouping val="standard"/>
        <c:varyColors val="0"/>
        <c:ser>
          <c:idx val="1"/>
          <c:order val="1"/>
          <c:tx>
            <c:strRef>
              <c:f>'PT Esteira+Coord'!$C$1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Esteira+Coord'!$A$2:$A$11</c:f>
              <c:multiLvlStrCache>
                <c:ptCount val="6"/>
                <c:lvl>
                  <c:pt idx="0">
                    <c:v>Inclusão</c:v>
                  </c:pt>
                  <c:pt idx="1">
                    <c:v>Conciliação</c:v>
                  </c:pt>
                  <c:pt idx="2">
                    <c:v>Composição</c:v>
                  </c:pt>
                  <c:pt idx="3">
                    <c:v>Relatórios</c:v>
                  </c:pt>
                  <c:pt idx="4">
                    <c:v>Liberação</c:v>
                  </c:pt>
                  <c:pt idx="5">
                    <c:v>Atendimento</c:v>
                  </c:pt>
                </c:lvl>
                <c:lvl>
                  <c:pt idx="0">
                    <c:v>Coord 1</c:v>
                  </c:pt>
                  <c:pt idx="2">
                    <c:v>Coord 2</c:v>
                  </c:pt>
                  <c:pt idx="4">
                    <c:v>Coord 3</c:v>
                  </c:pt>
                </c:lvl>
              </c:multiLvlStrCache>
            </c:multiLvlStrRef>
          </c:cat>
          <c:val>
            <c:numRef>
              <c:f>'PT Esteira+Coord'!$C$2:$C$11</c:f>
              <c:numCache>
                <c:formatCode>0%</c:formatCode>
                <c:ptCount val="6"/>
                <c:pt idx="0">
                  <c:v>0.7142857142857143</c:v>
                </c:pt>
                <c:pt idx="1">
                  <c:v>0.75</c:v>
                </c:pt>
                <c:pt idx="2">
                  <c:v>1</c:v>
                </c:pt>
                <c:pt idx="3">
                  <c:v>1</c:v>
                </c:pt>
                <c:pt idx="4">
                  <c:v>0.95</c:v>
                </c:pt>
                <c:pt idx="5">
                  <c:v>0.875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163920"/>
        <c:axId val="1309159024"/>
      </c:lineChart>
      <c:catAx>
        <c:axId val="130979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6640"/>
        <c:crosses val="autoZero"/>
        <c:auto val="1"/>
        <c:lblAlgn val="ctr"/>
        <c:lblOffset val="100"/>
        <c:noMultiLvlLbl val="0"/>
      </c:catAx>
      <c:valAx>
        <c:axId val="1309166640"/>
        <c:scaling>
          <c:orientation val="minMax"/>
          <c:max val="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799376"/>
        <c:crosses val="autoZero"/>
        <c:crossBetween val="between"/>
      </c:valAx>
      <c:valAx>
        <c:axId val="13091590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3920"/>
        <c:crosses val="max"/>
        <c:crossBetween val="between"/>
      </c:valAx>
      <c:catAx>
        <c:axId val="130916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59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Esteira+Coord!PT_Fluxo_Vol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plus"/>
          <c:size val="5"/>
          <c:spPr>
            <a:noFill/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plus"/>
          <c:size val="5"/>
          <c:spPr>
            <a:noFill/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plus"/>
          <c:size val="5"/>
          <c:spPr>
            <a:noFill/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Esteira+Coord'!$I$1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Esteira+Coord'!$H$2:$H$31</c:f>
              <c:multiLvlStrCache>
                <c:ptCount val="20"/>
                <c:lvl>
                  <c:pt idx="0">
                    <c:v>Reassociação de Veículos</c:v>
                  </c:pt>
                  <c:pt idx="1">
                    <c:v>Trava (E-mail Fora do Padrão)</c:v>
                  </c:pt>
                  <c:pt idx="2">
                    <c:v>Trava (E-mail Padrão)</c:v>
                  </c:pt>
                  <c:pt idx="3">
                    <c:v>Inclusão de Operação</c:v>
                  </c:pt>
                  <c:pt idx="4">
                    <c:v>Fechamento</c:v>
                  </c:pt>
                  <c:pt idx="5">
                    <c:v>Composição Sem Liberação</c:v>
                  </c:pt>
                  <c:pt idx="6">
                    <c:v>Relatório</c:v>
                  </c:pt>
                  <c:pt idx="7">
                    <c:v>Antecipação de Recebíveis</c:v>
                  </c:pt>
                  <c:pt idx="8">
                    <c:v>Desbloqueio</c:v>
                  </c:pt>
                  <c:pt idx="9">
                    <c:v>Destrava</c:v>
                  </c:pt>
                  <c:pt idx="10">
                    <c:v>Emissão de Termo de Liberação</c:v>
                  </c:pt>
                  <c:pt idx="11">
                    <c:v>Liberação de Instrução</c:v>
                  </c:pt>
                  <c:pt idx="12">
                    <c:v>Liberação Pontual de Recursos</c:v>
                  </c:pt>
                  <c:pt idx="13">
                    <c:v>Liberação Pontual de Recursos (Portal TEF)</c:v>
                  </c:pt>
                  <c:pt idx="14">
                    <c:v>Liberação via Módulo</c:v>
                  </c:pt>
                  <c:pt idx="15">
                    <c:v>Pagamentos e Despesas</c:v>
                  </c:pt>
                  <c:pt idx="16">
                    <c:v>Confirmação de Utilização de Conta</c:v>
                  </c:pt>
                  <c:pt idx="17">
                    <c:v>Consultas</c:v>
                  </c:pt>
                  <c:pt idx="18">
                    <c:v>Dúvidas</c:v>
                  </c:pt>
                  <c:pt idx="19">
                    <c:v>Tratamento de GECOV</c:v>
                  </c:pt>
                </c:lvl>
                <c:lvl>
                  <c:pt idx="0">
                    <c:v>Inclusão</c:v>
                  </c:pt>
                  <c:pt idx="4">
                    <c:v>Conciliação</c:v>
                  </c:pt>
                  <c:pt idx="5">
                    <c:v>Composição</c:v>
                  </c:pt>
                  <c:pt idx="6">
                    <c:v>Relatórios</c:v>
                  </c:pt>
                  <c:pt idx="7">
                    <c:v>Liberação</c:v>
                  </c:pt>
                  <c:pt idx="16">
                    <c:v>Atendimento</c:v>
                  </c:pt>
                </c:lvl>
                <c:lvl>
                  <c:pt idx="0">
                    <c:v>Coord 1</c:v>
                  </c:pt>
                  <c:pt idx="5">
                    <c:v>Coord 2</c:v>
                  </c:pt>
                  <c:pt idx="7">
                    <c:v>Coord 3</c:v>
                  </c:pt>
                </c:lvl>
              </c:multiLvlStrCache>
            </c:multiLvlStrRef>
          </c:cat>
          <c:val>
            <c:numRef>
              <c:f>'PT Esteira+Coord'!$I$2:$I$31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309167728"/>
        <c:axId val="1309165008"/>
      </c:barChart>
      <c:lineChart>
        <c:grouping val="standard"/>
        <c:varyColors val="0"/>
        <c:ser>
          <c:idx val="1"/>
          <c:order val="1"/>
          <c:tx>
            <c:strRef>
              <c:f>'PT Esteira+Coord'!$J$1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'PT Esteira+Coord'!$H$2:$H$31</c:f>
              <c:multiLvlStrCache>
                <c:ptCount val="20"/>
                <c:lvl>
                  <c:pt idx="0">
                    <c:v>Reassociação de Veículos</c:v>
                  </c:pt>
                  <c:pt idx="1">
                    <c:v>Trava (E-mail Fora do Padrão)</c:v>
                  </c:pt>
                  <c:pt idx="2">
                    <c:v>Trava (E-mail Padrão)</c:v>
                  </c:pt>
                  <c:pt idx="3">
                    <c:v>Inclusão de Operação</c:v>
                  </c:pt>
                  <c:pt idx="4">
                    <c:v>Fechamento</c:v>
                  </c:pt>
                  <c:pt idx="5">
                    <c:v>Composição Sem Liberação</c:v>
                  </c:pt>
                  <c:pt idx="6">
                    <c:v>Relatório</c:v>
                  </c:pt>
                  <c:pt idx="7">
                    <c:v>Antecipação de Recebíveis</c:v>
                  </c:pt>
                  <c:pt idx="8">
                    <c:v>Desbloqueio</c:v>
                  </c:pt>
                  <c:pt idx="9">
                    <c:v>Destrava</c:v>
                  </c:pt>
                  <c:pt idx="10">
                    <c:v>Emissão de Termo de Liberação</c:v>
                  </c:pt>
                  <c:pt idx="11">
                    <c:v>Liberação de Instrução</c:v>
                  </c:pt>
                  <c:pt idx="12">
                    <c:v>Liberação Pontual de Recursos</c:v>
                  </c:pt>
                  <c:pt idx="13">
                    <c:v>Liberação Pontual de Recursos (Portal TEF)</c:v>
                  </c:pt>
                  <c:pt idx="14">
                    <c:v>Liberação via Módulo</c:v>
                  </c:pt>
                  <c:pt idx="15">
                    <c:v>Pagamentos e Despesas</c:v>
                  </c:pt>
                  <c:pt idx="16">
                    <c:v>Confirmação de Utilização de Conta</c:v>
                  </c:pt>
                  <c:pt idx="17">
                    <c:v>Consultas</c:v>
                  </c:pt>
                  <c:pt idx="18">
                    <c:v>Dúvidas</c:v>
                  </c:pt>
                  <c:pt idx="19">
                    <c:v>Tratamento de GECOV</c:v>
                  </c:pt>
                </c:lvl>
                <c:lvl>
                  <c:pt idx="0">
                    <c:v>Inclusão</c:v>
                  </c:pt>
                  <c:pt idx="4">
                    <c:v>Conciliação</c:v>
                  </c:pt>
                  <c:pt idx="5">
                    <c:v>Composição</c:v>
                  </c:pt>
                  <c:pt idx="6">
                    <c:v>Relatórios</c:v>
                  </c:pt>
                  <c:pt idx="7">
                    <c:v>Liberação</c:v>
                  </c:pt>
                  <c:pt idx="16">
                    <c:v>Atendimento</c:v>
                  </c:pt>
                </c:lvl>
                <c:lvl>
                  <c:pt idx="0">
                    <c:v>Coord 1</c:v>
                  </c:pt>
                  <c:pt idx="5">
                    <c:v>Coord 2</c:v>
                  </c:pt>
                  <c:pt idx="7">
                    <c:v>Coord 3</c:v>
                  </c:pt>
                </c:lvl>
              </c:multiLvlStrCache>
            </c:multiLvlStrRef>
          </c:cat>
          <c:val>
            <c:numRef>
              <c:f>'PT Esteira+Coord'!$J$2:$J$31</c:f>
              <c:numCache>
                <c:formatCode>0%</c:formatCode>
                <c:ptCount val="20"/>
                <c:pt idx="0">
                  <c:v>0.33333333333333331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0.5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0.66666666666666663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158480"/>
        <c:axId val="1309170448"/>
      </c:lineChart>
      <c:catAx>
        <c:axId val="130916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5008"/>
        <c:crosses val="autoZero"/>
        <c:auto val="1"/>
        <c:lblAlgn val="ctr"/>
        <c:lblOffset val="100"/>
        <c:noMultiLvlLbl val="0"/>
      </c:catAx>
      <c:valAx>
        <c:axId val="1309165008"/>
        <c:scaling>
          <c:orientation val="minMax"/>
          <c:max val="1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7728"/>
        <c:crosses val="autoZero"/>
        <c:crossBetween val="between"/>
      </c:valAx>
      <c:valAx>
        <c:axId val="13091704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58480"/>
        <c:crosses val="max"/>
        <c:crossBetween val="between"/>
      </c:valAx>
      <c:catAx>
        <c:axId val="1309158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704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Tipos de Garantia!PT_TipoGar_Vol</c:name>
    <c:fmtId val="2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ln w="28575" cap="rnd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Tipos de Garantia'!$B$1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Tipos de Garantia'!$A$2:$A$7</c:f>
              <c:strCache>
                <c:ptCount val="5"/>
                <c:pt idx="0">
                  <c:v>Aplicações</c:v>
                </c:pt>
                <c:pt idx="1">
                  <c:v>Cartões</c:v>
                </c:pt>
                <c:pt idx="2">
                  <c:v>DC</c:v>
                </c:pt>
                <c:pt idx="3">
                  <c:v>Duplicatas</c:v>
                </c:pt>
                <c:pt idx="4">
                  <c:v>Imóveis</c:v>
                </c:pt>
              </c:strCache>
            </c:strRef>
          </c:cat>
          <c:val>
            <c:numRef>
              <c:f>'PT Tipos de Garantia'!$B$2:$B$7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14</c:v>
                </c:pt>
                <c:pt idx="3">
                  <c:v>12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1309160656"/>
        <c:axId val="1309161744"/>
      </c:barChart>
      <c:lineChart>
        <c:grouping val="standard"/>
        <c:varyColors val="0"/>
        <c:ser>
          <c:idx val="1"/>
          <c:order val="1"/>
          <c:tx>
            <c:strRef>
              <c:f>'PT Tipos de Garantia'!$C$1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Tipos de Garantia'!$A$2:$A$7</c:f>
              <c:strCache>
                <c:ptCount val="5"/>
                <c:pt idx="0">
                  <c:v>Aplicações</c:v>
                </c:pt>
                <c:pt idx="1">
                  <c:v>Cartões</c:v>
                </c:pt>
                <c:pt idx="2">
                  <c:v>DC</c:v>
                </c:pt>
                <c:pt idx="3">
                  <c:v>Duplicatas</c:v>
                </c:pt>
                <c:pt idx="4">
                  <c:v>Imóveis</c:v>
                </c:pt>
              </c:strCache>
            </c:strRef>
          </c:cat>
          <c:val>
            <c:numRef>
              <c:f>'PT Tipos de Garantia'!$C$2:$C$7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0.8571428571428571</c:v>
                </c:pt>
                <c:pt idx="3">
                  <c:v>0.75</c:v>
                </c:pt>
                <c:pt idx="4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9155216"/>
        <c:axId val="1309168272"/>
      </c:lineChart>
      <c:catAx>
        <c:axId val="130916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1744"/>
        <c:crosses val="autoZero"/>
        <c:auto val="1"/>
        <c:lblAlgn val="ctr"/>
        <c:lblOffset val="100"/>
        <c:noMultiLvlLbl val="0"/>
      </c:catAx>
      <c:valAx>
        <c:axId val="1309161744"/>
        <c:scaling>
          <c:orientation val="minMax"/>
          <c:max val="3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0656"/>
        <c:crosses val="autoZero"/>
        <c:crossBetween val="between"/>
      </c:valAx>
      <c:valAx>
        <c:axId val="130916827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55216"/>
        <c:crosses val="max"/>
        <c:crossBetween val="between"/>
      </c:valAx>
      <c:catAx>
        <c:axId val="1309155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68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Tempo!PT_Esteira_Vol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ln w="28575" cap="rnd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Tempo'!$B$1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Tempo'!$A$2:$A$11</c:f>
              <c:strCache>
                <c:ptCount val="9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</c:strCache>
            </c:strRef>
          </c:cat>
          <c:val>
            <c:numRef>
              <c:f>'PT Tempo'!$B$2:$B$11</c:f>
              <c:numCache>
                <c:formatCode>General</c:formatCode>
                <c:ptCount val="9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1309161200"/>
        <c:axId val="1309162832"/>
      </c:barChart>
      <c:lineChart>
        <c:grouping val="standard"/>
        <c:varyColors val="0"/>
        <c:ser>
          <c:idx val="1"/>
          <c:order val="1"/>
          <c:tx>
            <c:strRef>
              <c:f>'PT Tempo'!$C$1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Tempo'!$A$2:$A$11</c:f>
              <c:strCache>
                <c:ptCount val="9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</c:strCache>
            </c:strRef>
          </c:cat>
          <c:val>
            <c:numRef>
              <c:f>'PT Tempo'!$C$2:$C$11</c:f>
              <c:numCache>
                <c:formatCode>0%</c:formatCode>
                <c:ptCount val="9"/>
                <c:pt idx="0">
                  <c:v>0.8</c:v>
                </c:pt>
                <c:pt idx="1">
                  <c:v>0.88888888888888884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0.6</c:v>
                </c:pt>
                <c:pt idx="6">
                  <c:v>1</c:v>
                </c:pt>
                <c:pt idx="7">
                  <c:v>0.8571428571428571</c:v>
                </c:pt>
                <c:pt idx="8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9163376"/>
        <c:axId val="1309169360"/>
      </c:lineChart>
      <c:catAx>
        <c:axId val="130916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2832"/>
        <c:crosses val="autoZero"/>
        <c:auto val="1"/>
        <c:lblAlgn val="ctr"/>
        <c:lblOffset val="100"/>
        <c:noMultiLvlLbl val="0"/>
      </c:catAx>
      <c:valAx>
        <c:axId val="1309162832"/>
        <c:scaling>
          <c:orientation val="minMax"/>
          <c:max val="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1200"/>
        <c:crosses val="autoZero"/>
        <c:crossBetween val="between"/>
      </c:valAx>
      <c:valAx>
        <c:axId val="13091693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63376"/>
        <c:crosses val="max"/>
        <c:crossBetween val="between"/>
      </c:valAx>
      <c:catAx>
        <c:axId val="1309163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69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 v3.xltm]PT Segmento!PT_Esteira_Vol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Segmento'!$B$1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Segmento'!$A$2:$A$4</c:f>
              <c:strCache>
                <c:ptCount val="2"/>
                <c:pt idx="0">
                  <c:v>CLU</c:v>
                </c:pt>
                <c:pt idx="1">
                  <c:v>MM</c:v>
                </c:pt>
              </c:strCache>
            </c:strRef>
          </c:cat>
          <c:val>
            <c:numRef>
              <c:f>'PT Segmento'!$B$2:$B$4</c:f>
              <c:numCache>
                <c:formatCode>General</c:formatCode>
                <c:ptCount val="2"/>
                <c:pt idx="0">
                  <c:v>27</c:v>
                </c:pt>
                <c:pt idx="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309157392"/>
        <c:axId val="1309156304"/>
      </c:barChart>
      <c:lineChart>
        <c:grouping val="standard"/>
        <c:varyColors val="0"/>
        <c:ser>
          <c:idx val="1"/>
          <c:order val="1"/>
          <c:tx>
            <c:strRef>
              <c:f>'PT Segmento'!$C$1</c:f>
              <c:strCache>
                <c:ptCount val="1"/>
                <c:pt idx="0">
                  <c:v>Atendimento SLA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'PT Segmento'!$A$2:$A$4</c:f>
              <c:strCache>
                <c:ptCount val="2"/>
                <c:pt idx="0">
                  <c:v>CLU</c:v>
                </c:pt>
                <c:pt idx="1">
                  <c:v>MM</c:v>
                </c:pt>
              </c:strCache>
            </c:strRef>
          </c:cat>
          <c:val>
            <c:numRef>
              <c:f>'PT Segmento'!$C$2:$C$4</c:f>
              <c:numCache>
                <c:formatCode>0%</c:formatCode>
                <c:ptCount val="2"/>
                <c:pt idx="0">
                  <c:v>0.92592592592592593</c:v>
                </c:pt>
                <c:pt idx="1">
                  <c:v>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157936"/>
        <c:axId val="1309156848"/>
      </c:lineChart>
      <c:catAx>
        <c:axId val="130915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56304"/>
        <c:crosses val="autoZero"/>
        <c:auto val="1"/>
        <c:lblAlgn val="ctr"/>
        <c:lblOffset val="100"/>
        <c:noMultiLvlLbl val="0"/>
      </c:catAx>
      <c:valAx>
        <c:axId val="1309156304"/>
        <c:scaling>
          <c:orientation val="minMax"/>
          <c:max val="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57392"/>
        <c:crosses val="autoZero"/>
        <c:crossBetween val="between"/>
      </c:valAx>
      <c:valAx>
        <c:axId val="13091568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9157936"/>
        <c:crosses val="max"/>
        <c:crossBetween val="between"/>
      </c:valAx>
      <c:catAx>
        <c:axId val="1309157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56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emf"/><Relationship Id="rId5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7.xml"/><Relationship Id="rId7" Type="http://schemas.openxmlformats.org/officeDocument/2006/relationships/image" Target="../media/image2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9.xml"/><Relationship Id="rId5" Type="http://schemas.openxmlformats.org/officeDocument/2006/relationships/image" Target="../media/image6.png"/><Relationship Id="rId4" Type="http://schemas.openxmlformats.org/officeDocument/2006/relationships/chart" Target="../charts/chart8.xml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2.emf"/><Relationship Id="rId7" Type="http://schemas.openxmlformats.org/officeDocument/2006/relationships/image" Target="../media/image8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chart" Target="../charts/chart20.xml"/><Relationship Id="rId6" Type="http://schemas.openxmlformats.org/officeDocument/2006/relationships/image" Target="../media/image7.png"/><Relationship Id="rId5" Type="http://schemas.openxmlformats.org/officeDocument/2006/relationships/image" Target="../media/image8.png"/><Relationship Id="rId4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chart" Target="../charts/chart21.xml"/><Relationship Id="rId6" Type="http://schemas.openxmlformats.org/officeDocument/2006/relationships/image" Target="../media/image7.png"/><Relationship Id="rId5" Type="http://schemas.openxmlformats.org/officeDocument/2006/relationships/image" Target="../media/image8.png"/><Relationship Id="rId4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chart" Target="../charts/chart22.xml"/><Relationship Id="rId6" Type="http://schemas.openxmlformats.org/officeDocument/2006/relationships/image" Target="../media/image7.png"/><Relationship Id="rId5" Type="http://schemas.openxmlformats.org/officeDocument/2006/relationships/image" Target="../media/image8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310353</xdr:colOff>
      <xdr:row>9</xdr:row>
      <xdr:rowOff>124007</xdr:rowOff>
    </xdr:from>
    <xdr:to>
      <xdr:col>6</xdr:col>
      <xdr:colOff>299247</xdr:colOff>
      <xdr:row>13</xdr:row>
      <xdr:rowOff>142694</xdr:rowOff>
    </xdr:to>
    <xdr:sp macro="[0]!Abrir_Operações" textlink="">
      <xdr:nvSpPr>
        <xdr:cNvPr id="2" name="Retângulo de cantos arredondados 1"/>
        <xdr:cNvSpPr/>
      </xdr:nvSpPr>
      <xdr:spPr>
        <a:xfrm>
          <a:off x="2139153" y="1838507"/>
          <a:ext cx="1817694" cy="7806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Operação</a:t>
          </a:r>
        </a:p>
      </xdr:txBody>
    </xdr:sp>
    <xdr:clientData/>
  </xdr:twoCellAnchor>
  <xdr:twoCellAnchor>
    <xdr:from>
      <xdr:col>8</xdr:col>
      <xdr:colOff>215103</xdr:colOff>
      <xdr:row>9</xdr:row>
      <xdr:rowOff>152582</xdr:rowOff>
    </xdr:from>
    <xdr:to>
      <xdr:col>11</xdr:col>
      <xdr:colOff>203997</xdr:colOff>
      <xdr:row>13</xdr:row>
      <xdr:rowOff>171269</xdr:rowOff>
    </xdr:to>
    <xdr:sp macro="[0]!Abrir_SLA_Vol" textlink="">
      <xdr:nvSpPr>
        <xdr:cNvPr id="3" name="Retângulo de cantos arredondados 2"/>
        <xdr:cNvSpPr/>
      </xdr:nvSpPr>
      <xdr:spPr>
        <a:xfrm>
          <a:off x="5091903" y="1867082"/>
          <a:ext cx="1817694" cy="7806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SLA + Volumetria</a:t>
          </a:r>
        </a:p>
        <a:p>
          <a:pPr algn="ctr"/>
          <a:r>
            <a:rPr lang="pt-BR" sz="1600" b="1" baseline="0"/>
            <a:t>(OK)</a:t>
          </a:r>
        </a:p>
      </xdr:txBody>
    </xdr:sp>
    <xdr:clientData/>
  </xdr:twoCellAnchor>
  <xdr:twoCellAnchor>
    <xdr:from>
      <xdr:col>0</xdr:col>
      <xdr:colOff>249012</xdr:colOff>
      <xdr:row>1</xdr:row>
      <xdr:rowOff>84603</xdr:rowOff>
    </xdr:from>
    <xdr:to>
      <xdr:col>2</xdr:col>
      <xdr:colOff>532038</xdr:colOff>
      <xdr:row>3</xdr:row>
      <xdr:rowOff>67798</xdr:rowOff>
    </xdr:to>
    <xdr:sp macro="" textlink="">
      <xdr:nvSpPr>
        <xdr:cNvPr id="4" name="Retângulo de cantos arredondados 3"/>
        <xdr:cNvSpPr/>
      </xdr:nvSpPr>
      <xdr:spPr>
        <a:xfrm>
          <a:off x="249012" y="275103"/>
          <a:ext cx="1502226" cy="364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Exportar Base</a:t>
          </a:r>
        </a:p>
      </xdr:txBody>
    </xdr:sp>
    <xdr:clientData/>
  </xdr:twoCellAnchor>
  <xdr:twoCellAnchor>
    <xdr:from>
      <xdr:col>1</xdr:col>
      <xdr:colOff>210912</xdr:colOff>
      <xdr:row>17</xdr:row>
      <xdr:rowOff>46503</xdr:rowOff>
    </xdr:from>
    <xdr:to>
      <xdr:col>3</xdr:col>
      <xdr:colOff>493938</xdr:colOff>
      <xdr:row>19</xdr:row>
      <xdr:rowOff>29698</xdr:rowOff>
    </xdr:to>
    <xdr:sp macro="" textlink="">
      <xdr:nvSpPr>
        <xdr:cNvPr id="5" name="Retângulo de cantos arredondados 4"/>
        <xdr:cNvSpPr/>
      </xdr:nvSpPr>
      <xdr:spPr>
        <a:xfrm>
          <a:off x="820512" y="3285003"/>
          <a:ext cx="1502226" cy="364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Atualizar Base</a:t>
          </a:r>
        </a:p>
        <a:p>
          <a:pPr algn="ctr"/>
          <a:endParaRPr lang="pt-BR" sz="16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846667</xdr:colOff>
      <xdr:row>0</xdr:row>
      <xdr:rowOff>84667</xdr:rowOff>
    </xdr:from>
    <xdr:ext cx="5429250" cy="476250"/>
    <xdr:sp macro="" textlink="">
      <xdr:nvSpPr>
        <xdr:cNvPr id="3" name="TextBox 1"/>
        <xdr:cNvSpPr txBox="1"/>
      </xdr:nvSpPr>
      <xdr:spPr>
        <a:xfrm>
          <a:off x="941917" y="84667"/>
          <a:ext cx="5429250" cy="4762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b">
          <a:noAutofit/>
        </a:bodyPr>
        <a:lstStyle/>
        <a:p>
          <a:r>
            <a:rPr lang="en-US" sz="2800">
              <a:solidFill>
                <a:srgbClr val="002060"/>
              </a:solidFill>
              <a:effectLst>
                <a:outerShdw blurRad="50800" dist="25400" dir="5400000" algn="t" rotWithShape="0">
                  <a:schemeClr val="bg1">
                    <a:alpha val="40000"/>
                  </a:schemeClr>
                </a:outerShdw>
              </a:effectLst>
              <a:latin typeface="Segoe UI Light" pitchFamily="34" charset="0"/>
            </a:rPr>
            <a:t>Acompanhamento </a:t>
          </a:r>
          <a:r>
            <a:rPr lang="en-US" sz="2800" baseline="0">
              <a:solidFill>
                <a:srgbClr val="002060"/>
              </a:solidFill>
              <a:effectLst>
                <a:outerShdw blurRad="50800" dist="25400" dir="5400000" algn="t" rotWithShape="0">
                  <a:schemeClr val="bg1">
                    <a:alpha val="40000"/>
                  </a:schemeClr>
                </a:outerShdw>
              </a:effectLst>
              <a:latin typeface="Segoe UI Light" pitchFamily="34" charset="0"/>
            </a:rPr>
            <a:t>das Operações</a:t>
          </a:r>
          <a:endParaRPr lang="en-US" sz="2800">
            <a:solidFill>
              <a:srgbClr val="002060"/>
            </a:solidFill>
            <a:effectLst>
              <a:outerShdw blurRad="50800" dist="25400" dir="5400000" algn="t" rotWithShape="0">
                <a:schemeClr val="bg1">
                  <a:alpha val="40000"/>
                </a:schemeClr>
              </a:outerShdw>
            </a:effectLst>
            <a:latin typeface="Segoe UI Light" pitchFamily="34" charset="0"/>
          </a:endParaRPr>
        </a:p>
      </xdr:txBody>
    </xdr:sp>
    <xdr:clientData/>
  </xdr:oneCellAnchor>
  <xdr:twoCellAnchor editAs="oneCell">
    <xdr:from>
      <xdr:col>12</xdr:col>
      <xdr:colOff>114300</xdr:colOff>
      <xdr:row>12</xdr:row>
      <xdr:rowOff>123825</xdr:rowOff>
    </xdr:from>
    <xdr:to>
      <xdr:col>14</xdr:col>
      <xdr:colOff>654049</xdr:colOff>
      <xdr:row>21</xdr:row>
      <xdr:rowOff>99484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luxo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12967" y="2526242"/>
              <a:ext cx="1830916" cy="15419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47626</xdr:colOff>
      <xdr:row>15</xdr:row>
      <xdr:rowOff>104775</xdr:rowOff>
    </xdr:from>
    <xdr:to>
      <xdr:col>4</xdr:col>
      <xdr:colOff>590550</xdr:colOff>
      <xdr:row>24</xdr:row>
      <xdr:rowOff>133350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752475</xdr:colOff>
      <xdr:row>15</xdr:row>
      <xdr:rowOff>114300</xdr:rowOff>
    </xdr:from>
    <xdr:to>
      <xdr:col>6</xdr:col>
      <xdr:colOff>847725</xdr:colOff>
      <xdr:row>24</xdr:row>
      <xdr:rowOff>161925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1065741</xdr:colOff>
      <xdr:row>26</xdr:row>
      <xdr:rowOff>147109</xdr:rowOff>
    </xdr:from>
    <xdr:to>
      <xdr:col>8</xdr:col>
      <xdr:colOff>845608</xdr:colOff>
      <xdr:row>35</xdr:row>
      <xdr:rowOff>185208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814917</xdr:colOff>
      <xdr:row>2</xdr:row>
      <xdr:rowOff>0</xdr:rowOff>
    </xdr:from>
    <xdr:to>
      <xdr:col>14</xdr:col>
      <xdr:colOff>677333</xdr:colOff>
      <xdr:row>7</xdr:row>
      <xdr:rowOff>161925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Data de Abertur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 de Abertur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11167" y="370417"/>
              <a:ext cx="4815416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>
    <xdr:from>
      <xdr:col>2</xdr:col>
      <xdr:colOff>1</xdr:colOff>
      <xdr:row>11</xdr:row>
      <xdr:rowOff>19050</xdr:rowOff>
    </xdr:from>
    <xdr:to>
      <xdr:col>6</xdr:col>
      <xdr:colOff>904876</xdr:colOff>
      <xdr:row>24</xdr:row>
      <xdr:rowOff>161925</xdr:rowOff>
    </xdr:to>
    <xdr:sp macro="" textlink="">
      <xdr:nvSpPr>
        <xdr:cNvPr id="11" name="Retângulo de cantos arredondados 10"/>
        <xdr:cNvSpPr/>
      </xdr:nvSpPr>
      <xdr:spPr>
        <a:xfrm>
          <a:off x="95251" y="7229475"/>
          <a:ext cx="5067300" cy="2409825"/>
        </a:xfrm>
        <a:prstGeom prst="roundRect">
          <a:avLst>
            <a:gd name="adj" fmla="val 6503"/>
          </a:avLst>
        </a:prstGeom>
        <a:noFill/>
        <a:ln>
          <a:solidFill>
            <a:schemeClr val="tx1">
              <a:lumMod val="65000"/>
              <a:lumOff val="35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225031</xdr:colOff>
      <xdr:row>10</xdr:row>
      <xdr:rowOff>59079</xdr:rowOff>
    </xdr:from>
    <xdr:to>
      <xdr:col>3</xdr:col>
      <xdr:colOff>1979908</xdr:colOff>
      <xdr:row>11</xdr:row>
      <xdr:rowOff>93321</xdr:rowOff>
    </xdr:to>
    <xdr:sp macro="" textlink="">
      <xdr:nvSpPr>
        <xdr:cNvPr id="12" name="CaixaDeTexto 11"/>
        <xdr:cNvSpPr txBox="1"/>
      </xdr:nvSpPr>
      <xdr:spPr>
        <a:xfrm>
          <a:off x="1526781" y="1964079"/>
          <a:ext cx="1754877" cy="22474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l"/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Trebuchet MS" panose="020B0603020202020204" pitchFamily="34" charset="0"/>
            </a:rPr>
            <a:t>Novas Operações</a:t>
          </a:r>
        </a:p>
      </xdr:txBody>
    </xdr:sp>
    <xdr:clientData/>
  </xdr:twoCellAnchor>
  <xdr:twoCellAnchor>
    <xdr:from>
      <xdr:col>3</xdr:col>
      <xdr:colOff>350471</xdr:colOff>
      <xdr:row>12</xdr:row>
      <xdr:rowOff>109988</xdr:rowOff>
    </xdr:from>
    <xdr:to>
      <xdr:col>3</xdr:col>
      <xdr:colOff>1781175</xdr:colOff>
      <xdr:row>15</xdr:row>
      <xdr:rowOff>13837</xdr:rowOff>
    </xdr:to>
    <xdr:sp macro="" textlink="">
      <xdr:nvSpPr>
        <xdr:cNvPr id="13" name="CaixaDeTexto 12"/>
        <xdr:cNvSpPr txBox="1"/>
      </xdr:nvSpPr>
      <xdr:spPr>
        <a:xfrm>
          <a:off x="598121" y="7510913"/>
          <a:ext cx="1430704" cy="265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Trebuchet MS" panose="020B0603020202020204" pitchFamily="34" charset="0"/>
            </a:rPr>
            <a:t>Total</a:t>
          </a:r>
          <a:r>
            <a:rPr lang="pt-BR" sz="1100" baseline="0">
              <a:latin typeface="Trebuchet MS" panose="020B0603020202020204" pitchFamily="34" charset="0"/>
            </a:rPr>
            <a:t> de Inclusões:</a:t>
          </a:r>
          <a:endParaRPr lang="pt-BR" sz="1100"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3</xdr:col>
      <xdr:colOff>352425</xdr:colOff>
      <xdr:row>12</xdr:row>
      <xdr:rowOff>76200</xdr:rowOff>
    </xdr:from>
    <xdr:to>
      <xdr:col>4</xdr:col>
      <xdr:colOff>47625</xdr:colOff>
      <xdr:row>15</xdr:row>
      <xdr:rowOff>28575</xdr:rowOff>
    </xdr:to>
    <xdr:sp macro="" textlink="">
      <xdr:nvSpPr>
        <xdr:cNvPr id="14" name="Retângulo 13"/>
        <xdr:cNvSpPr/>
      </xdr:nvSpPr>
      <xdr:spPr>
        <a:xfrm>
          <a:off x="600075" y="7477125"/>
          <a:ext cx="1733550" cy="314325"/>
        </a:xfrm>
        <a:prstGeom prst="rect">
          <a:avLst/>
        </a:prstGeom>
        <a:noFill/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1028700</xdr:colOff>
      <xdr:row>11</xdr:row>
      <xdr:rowOff>19050</xdr:rowOff>
    </xdr:from>
    <xdr:to>
      <xdr:col>14</xdr:col>
      <xdr:colOff>762000</xdr:colOff>
      <xdr:row>24</xdr:row>
      <xdr:rowOff>161925</xdr:rowOff>
    </xdr:to>
    <xdr:sp macro="" textlink="">
      <xdr:nvSpPr>
        <xdr:cNvPr id="15" name="Retângulo de cantos arredondados 14"/>
        <xdr:cNvSpPr/>
      </xdr:nvSpPr>
      <xdr:spPr>
        <a:xfrm>
          <a:off x="6489700" y="2114550"/>
          <a:ext cx="7321550" cy="2471208"/>
        </a:xfrm>
        <a:prstGeom prst="roundRect">
          <a:avLst>
            <a:gd name="adj" fmla="val 6503"/>
          </a:avLst>
        </a:prstGeom>
        <a:noFill/>
        <a:ln>
          <a:solidFill>
            <a:schemeClr val="tx1">
              <a:lumMod val="65000"/>
              <a:lumOff val="35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56932</xdr:colOff>
      <xdr:row>10</xdr:row>
      <xdr:rowOff>49554</xdr:rowOff>
    </xdr:from>
    <xdr:to>
      <xdr:col>9</xdr:col>
      <xdr:colOff>825501</xdr:colOff>
      <xdr:row>11</xdr:row>
      <xdr:rowOff>127000</xdr:rowOff>
    </xdr:to>
    <xdr:sp macro="" textlink="">
      <xdr:nvSpPr>
        <xdr:cNvPr id="16" name="CaixaDeTexto 15"/>
        <xdr:cNvSpPr txBox="1"/>
      </xdr:nvSpPr>
      <xdr:spPr>
        <a:xfrm>
          <a:off x="6671515" y="1954554"/>
          <a:ext cx="2250236" cy="26794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l"/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Trebuchet MS" panose="020B0603020202020204" pitchFamily="34" charset="0"/>
            </a:rPr>
            <a:t>Liberações Financeiras</a:t>
          </a:r>
        </a:p>
      </xdr:txBody>
    </xdr:sp>
    <xdr:clientData/>
  </xdr:twoCellAnchor>
  <xdr:twoCellAnchor>
    <xdr:from>
      <xdr:col>3</xdr:col>
      <xdr:colOff>19050</xdr:colOff>
      <xdr:row>26</xdr:row>
      <xdr:rowOff>19050</xdr:rowOff>
    </xdr:from>
    <xdr:to>
      <xdr:col>8</xdr:col>
      <xdr:colOff>1026584</xdr:colOff>
      <xdr:row>36</xdr:row>
      <xdr:rowOff>161925</xdr:rowOff>
    </xdr:to>
    <xdr:sp macro="" textlink="">
      <xdr:nvSpPr>
        <xdr:cNvPr id="17" name="Retângulo de cantos arredondados 16"/>
        <xdr:cNvSpPr/>
      </xdr:nvSpPr>
      <xdr:spPr>
        <a:xfrm>
          <a:off x="114300" y="10020300"/>
          <a:ext cx="6320367" cy="2047875"/>
        </a:xfrm>
        <a:prstGeom prst="roundRect">
          <a:avLst>
            <a:gd name="adj" fmla="val 6503"/>
          </a:avLst>
        </a:prstGeom>
        <a:noFill/>
        <a:ln>
          <a:solidFill>
            <a:schemeClr val="tx1">
              <a:lumMod val="65000"/>
              <a:lumOff val="35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235815</xdr:colOff>
      <xdr:row>25</xdr:row>
      <xdr:rowOff>78129</xdr:rowOff>
    </xdr:from>
    <xdr:to>
      <xdr:col>3</xdr:col>
      <xdr:colOff>1316762</xdr:colOff>
      <xdr:row>26</xdr:row>
      <xdr:rowOff>112371</xdr:rowOff>
    </xdr:to>
    <xdr:sp macro="" textlink="">
      <xdr:nvSpPr>
        <xdr:cNvPr id="18" name="CaixaDeTexto 17"/>
        <xdr:cNvSpPr txBox="1"/>
      </xdr:nvSpPr>
      <xdr:spPr>
        <a:xfrm>
          <a:off x="331065" y="9746004"/>
          <a:ext cx="1080947" cy="22474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Trebuchet MS" panose="020B0603020202020204" pitchFamily="34" charset="0"/>
            </a:rPr>
            <a:t>Atendimento</a:t>
          </a:r>
        </a:p>
      </xdr:txBody>
    </xdr:sp>
    <xdr:clientData/>
  </xdr:twoCellAnchor>
  <xdr:twoCellAnchor>
    <xdr:from>
      <xdr:col>3</xdr:col>
      <xdr:colOff>215899</xdr:colOff>
      <xdr:row>26</xdr:row>
      <xdr:rowOff>180975</xdr:rowOff>
    </xdr:from>
    <xdr:to>
      <xdr:col>4</xdr:col>
      <xdr:colOff>994833</xdr:colOff>
      <xdr:row>36</xdr:row>
      <xdr:rowOff>114300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1098551</xdr:colOff>
      <xdr:row>26</xdr:row>
      <xdr:rowOff>19050</xdr:rowOff>
    </xdr:from>
    <xdr:to>
      <xdr:col>14</xdr:col>
      <xdr:colOff>814917</xdr:colOff>
      <xdr:row>36</xdr:row>
      <xdr:rowOff>161925</xdr:rowOff>
    </xdr:to>
    <xdr:sp macro="" textlink="">
      <xdr:nvSpPr>
        <xdr:cNvPr id="20" name="Retângulo de cantos arredondados 19"/>
        <xdr:cNvSpPr/>
      </xdr:nvSpPr>
      <xdr:spPr>
        <a:xfrm>
          <a:off x="7713134" y="4823883"/>
          <a:ext cx="6151033" cy="2185459"/>
        </a:xfrm>
        <a:prstGeom prst="roundRect">
          <a:avLst>
            <a:gd name="adj" fmla="val 6503"/>
          </a:avLst>
        </a:prstGeom>
        <a:noFill/>
        <a:ln>
          <a:solidFill>
            <a:schemeClr val="tx1">
              <a:lumMod val="65000"/>
              <a:lumOff val="35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1299972</xdr:colOff>
      <xdr:row>25</xdr:row>
      <xdr:rowOff>56962</xdr:rowOff>
    </xdr:from>
    <xdr:to>
      <xdr:col>10</xdr:col>
      <xdr:colOff>527767</xdr:colOff>
      <xdr:row>26</xdr:row>
      <xdr:rowOff>91204</xdr:rowOff>
    </xdr:to>
    <xdr:sp macro="" textlink="">
      <xdr:nvSpPr>
        <xdr:cNvPr id="21" name="CaixaDeTexto 20"/>
        <xdr:cNvSpPr txBox="1"/>
      </xdr:nvSpPr>
      <xdr:spPr>
        <a:xfrm>
          <a:off x="6708055" y="9867712"/>
          <a:ext cx="2106462" cy="22474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pt-BR" sz="1400" b="0">
              <a:solidFill>
                <a:schemeClr val="tx1">
                  <a:lumMod val="75000"/>
                  <a:lumOff val="25000"/>
                </a:schemeClr>
              </a:solidFill>
              <a:latin typeface="Trebuchet MS" panose="020B0603020202020204" pitchFamily="34" charset="0"/>
            </a:rPr>
            <a:t>Visão</a:t>
          </a:r>
          <a:r>
            <a:rPr lang="pt-BR" sz="1400" b="0" baseline="0">
              <a:solidFill>
                <a:schemeClr val="tx1">
                  <a:lumMod val="75000"/>
                  <a:lumOff val="25000"/>
                </a:schemeClr>
              </a:solidFill>
              <a:latin typeface="Trebuchet MS" panose="020B0603020202020204" pitchFamily="34" charset="0"/>
            </a:rPr>
            <a:t> Geral da Demanda</a:t>
          </a:r>
          <a:endParaRPr lang="pt-BR" sz="1400" b="0">
            <a:solidFill>
              <a:schemeClr val="tx1">
                <a:lumMod val="75000"/>
                <a:lumOff val="25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 editAs="oneCell">
    <xdr:from>
      <xdr:col>3</xdr:col>
      <xdr:colOff>84666</xdr:colOff>
      <xdr:row>0</xdr:row>
      <xdr:rowOff>190500</xdr:rowOff>
    </xdr:from>
    <xdr:to>
      <xdr:col>3</xdr:col>
      <xdr:colOff>432759</xdr:colOff>
      <xdr:row>2</xdr:row>
      <xdr:rowOff>101501</xdr:rowOff>
    </xdr:to>
    <xdr:pic macro="[0]!Macro4"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916" y="190500"/>
          <a:ext cx="348093" cy="34809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72143</xdr:rowOff>
    </xdr:from>
    <xdr:to>
      <xdr:col>0</xdr:col>
      <xdr:colOff>989933</xdr:colOff>
      <xdr:row>5</xdr:row>
      <xdr:rowOff>99993</xdr:rowOff>
    </xdr:to>
    <xdr:pic>
      <xdr:nvPicPr>
        <xdr:cNvPr id="24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31"/>
        <a:stretch/>
      </xdr:blipFill>
      <xdr:spPr bwMode="auto">
        <a:xfrm flipH="1">
          <a:off x="0" y="199143"/>
          <a:ext cx="989933" cy="84276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54355</xdr:colOff>
      <xdr:row>1</xdr:row>
      <xdr:rowOff>52915</xdr:rowOff>
    </xdr:from>
    <xdr:to>
      <xdr:col>0</xdr:col>
      <xdr:colOff>935577</xdr:colOff>
      <xdr:row>5</xdr:row>
      <xdr:rowOff>119220</xdr:rowOff>
    </xdr:to>
    <xdr:pic>
      <xdr:nvPicPr>
        <xdr:cNvPr id="25" name="Picture 3" descr="C:\Documents and Settings\igorfur\Desktop\ itau_masterbrand_volumetrica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4355" y="179915"/>
          <a:ext cx="881222" cy="881222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444501</xdr:colOff>
      <xdr:row>10</xdr:row>
      <xdr:rowOff>20012</xdr:rowOff>
    </xdr:from>
    <xdr:to>
      <xdr:col>9</xdr:col>
      <xdr:colOff>804334</xdr:colOff>
      <xdr:row>11</xdr:row>
      <xdr:rowOff>189344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0751" y="1925012"/>
          <a:ext cx="359833" cy="359832"/>
        </a:xfrm>
        <a:prstGeom prst="rect">
          <a:avLst/>
        </a:prstGeom>
      </xdr:spPr>
    </xdr:pic>
    <xdr:clientData/>
  </xdr:twoCellAnchor>
  <xdr:twoCellAnchor editAs="oneCell">
    <xdr:from>
      <xdr:col>3</xdr:col>
      <xdr:colOff>1661584</xdr:colOff>
      <xdr:row>10</xdr:row>
      <xdr:rowOff>40019</xdr:rowOff>
    </xdr:from>
    <xdr:to>
      <xdr:col>3</xdr:col>
      <xdr:colOff>1915584</xdr:colOff>
      <xdr:row>11</xdr:row>
      <xdr:rowOff>103519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9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3334" y="1945019"/>
          <a:ext cx="254000" cy="25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20</xdr:row>
      <xdr:rowOff>169857</xdr:rowOff>
    </xdr:from>
    <xdr:to>
      <xdr:col>15</xdr:col>
      <xdr:colOff>466725</xdr:colOff>
      <xdr:row>35</xdr:row>
      <xdr:rowOff>55557</xdr:rowOff>
    </xdr:to>
    <xdr:graphicFrame macro="">
      <xdr:nvGraphicFramePr>
        <xdr:cNvPr id="5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161925</xdr:colOff>
      <xdr:row>5</xdr:row>
      <xdr:rowOff>118000</xdr:rowOff>
    </xdr:from>
    <xdr:to>
      <xdr:col>15</xdr:col>
      <xdr:colOff>466725</xdr:colOff>
      <xdr:row>20</xdr:row>
      <xdr:rowOff>3700</xdr:rowOff>
    </xdr:to>
    <xdr:graphicFrame macro="">
      <xdr:nvGraphicFramePr>
        <xdr:cNvPr id="6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5</xdr:row>
      <xdr:rowOff>127525</xdr:rowOff>
    </xdr:from>
    <xdr:to>
      <xdr:col>7</xdr:col>
      <xdr:colOff>476250</xdr:colOff>
      <xdr:row>20</xdr:row>
      <xdr:rowOff>13225</xdr:rowOff>
    </xdr:to>
    <xdr:graphicFrame macro="">
      <xdr:nvGraphicFramePr>
        <xdr:cNvPr id="7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180975</xdr:colOff>
      <xdr:row>20</xdr:row>
      <xdr:rowOff>169857</xdr:rowOff>
    </xdr:from>
    <xdr:to>
      <xdr:col>7</xdr:col>
      <xdr:colOff>485775</xdr:colOff>
      <xdr:row>35</xdr:row>
      <xdr:rowOff>55557</xdr:rowOff>
    </xdr:to>
    <xdr:graphicFrame macro="">
      <xdr:nvGraphicFramePr>
        <xdr:cNvPr id="8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558269</xdr:colOff>
      <xdr:row>12</xdr:row>
      <xdr:rowOff>93574</xdr:rowOff>
    </xdr:from>
    <xdr:to>
      <xdr:col>17</xdr:col>
      <xdr:colOff>579438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steir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2104407"/>
              <a:ext cx="1248836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412750</xdr:colOff>
      <xdr:row>12</xdr:row>
      <xdr:rowOff>93574</xdr:rowOff>
    </xdr:from>
    <xdr:to>
      <xdr:col>22</xdr:col>
      <xdr:colOff>185436</xdr:colOff>
      <xdr:row>17</xdr:row>
      <xdr:rowOff>179298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g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89417" y="2104407"/>
              <a:ext cx="1000352" cy="1038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33185</xdr:colOff>
      <xdr:row>12</xdr:row>
      <xdr:rowOff>93574</xdr:rowOff>
    </xdr:from>
    <xdr:to>
      <xdr:col>20</xdr:col>
      <xdr:colOff>338667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de Garant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2185" y="2104407"/>
              <a:ext cx="1533149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4</xdr:row>
      <xdr:rowOff>141695</xdr:rowOff>
    </xdr:from>
    <xdr:to>
      <xdr:col>22</xdr:col>
      <xdr:colOff>185436</xdr:colOff>
      <xdr:row>11</xdr:row>
      <xdr:rowOff>179795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Data de Abertur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628528"/>
              <a:ext cx="3924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23</xdr:row>
      <xdr:rowOff>189446</xdr:rowOff>
    </xdr:from>
    <xdr:to>
      <xdr:col>22</xdr:col>
      <xdr:colOff>185436</xdr:colOff>
      <xdr:row>34</xdr:row>
      <xdr:rowOff>21170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lux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4295779"/>
              <a:ext cx="3924000" cy="1927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319643</xdr:colOff>
      <xdr:row>5</xdr:row>
      <xdr:rowOff>127979</xdr:rowOff>
    </xdr:from>
    <xdr:to>
      <xdr:col>7</xdr:col>
      <xdr:colOff>569357</xdr:colOff>
      <xdr:row>6</xdr:row>
      <xdr:rowOff>187193</xdr:rowOff>
    </xdr:to>
    <xdr:pic macro="[0]!IrPara_Esteir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6476" y="805312"/>
          <a:ext cx="249714" cy="249714"/>
        </a:xfrm>
        <a:prstGeom prst="rect">
          <a:avLst/>
        </a:prstGeom>
      </xdr:spPr>
    </xdr:pic>
    <xdr:clientData/>
  </xdr:twoCellAnchor>
  <xdr:twoCellAnchor>
    <xdr:from>
      <xdr:col>28</xdr:col>
      <xdr:colOff>148167</xdr:colOff>
      <xdr:row>0</xdr:row>
      <xdr:rowOff>21168</xdr:rowOff>
    </xdr:from>
    <xdr:to>
      <xdr:col>28</xdr:col>
      <xdr:colOff>148167</xdr:colOff>
      <xdr:row>35</xdr:row>
      <xdr:rowOff>95251</xdr:rowOff>
    </xdr:to>
    <xdr:cxnSp macro="">
      <xdr:nvCxnSpPr>
        <xdr:cNvPr id="13" name="Conector reto 12"/>
        <xdr:cNvCxnSpPr/>
      </xdr:nvCxnSpPr>
      <xdr:spPr>
        <a:xfrm>
          <a:off x="17335500" y="21168"/>
          <a:ext cx="0" cy="67415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407458</xdr:colOff>
      <xdr:row>8</xdr:row>
      <xdr:rowOff>73026</xdr:rowOff>
    </xdr:from>
    <xdr:to>
      <xdr:col>49</xdr:col>
      <xdr:colOff>603250</xdr:colOff>
      <xdr:row>30</xdr:row>
      <xdr:rowOff>187325</xdr:rowOff>
    </xdr:to>
    <xdr:graphicFrame macro="">
      <xdr:nvGraphicFramePr>
        <xdr:cNvPr id="14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264584</xdr:colOff>
      <xdr:row>31</xdr:row>
      <xdr:rowOff>63499</xdr:rowOff>
    </xdr:from>
    <xdr:to>
      <xdr:col>49</xdr:col>
      <xdr:colOff>536208</xdr:colOff>
      <xdr:row>33</xdr:row>
      <xdr:rowOff>42539</xdr:rowOff>
    </xdr:to>
    <xdr:sp macro="[0]!Macro2" textlink="">
      <xdr:nvSpPr>
        <xdr:cNvPr id="15" name="Seta para a esquerda 14"/>
        <xdr:cNvSpPr/>
      </xdr:nvSpPr>
      <xdr:spPr>
        <a:xfrm>
          <a:off x="30342417" y="5968999"/>
          <a:ext cx="271624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28</xdr:col>
      <xdr:colOff>412751</xdr:colOff>
      <xdr:row>1</xdr:row>
      <xdr:rowOff>116418</xdr:rowOff>
    </xdr:from>
    <xdr:to>
      <xdr:col>35</xdr:col>
      <xdr:colOff>285750</xdr:colOff>
      <xdr:row>5</xdr:row>
      <xdr:rowOff>105834</xdr:rowOff>
    </xdr:to>
    <xdr:sp macro="" textlink="">
      <xdr:nvSpPr>
        <xdr:cNvPr id="16" name="Retângulo de cantos arredondados 15"/>
        <xdr:cNvSpPr/>
      </xdr:nvSpPr>
      <xdr:spPr>
        <a:xfrm>
          <a:off x="17600084" y="306918"/>
          <a:ext cx="4169833" cy="751416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pt-BR" sz="1800">
              <a:solidFill>
                <a:sysClr val="windowText" lastClr="000000"/>
              </a:solidFill>
              <a:latin typeface="Trebuchet MS" panose="020B0603020202020204" pitchFamily="34" charset="0"/>
            </a:rPr>
            <a:t>Detalhamento</a:t>
          </a:r>
          <a:r>
            <a:rPr lang="pt-BR" sz="18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por Tipo de Demanda</a:t>
          </a:r>
          <a:endParaRPr lang="pt-BR" sz="1800">
            <a:solidFill>
              <a:sysClr val="windowText" lastClr="000000"/>
            </a:solidFill>
            <a:latin typeface="Trebuchet MS" panose="020B0603020202020204" pitchFamily="34" charset="0"/>
          </a:endParaRPr>
        </a:p>
      </xdr:txBody>
    </xdr:sp>
    <xdr:clientData/>
  </xdr:twoCellAnchor>
  <xdr:twoCellAnchor editAs="oneCell">
    <xdr:from>
      <xdr:col>35</xdr:col>
      <xdr:colOff>527050</xdr:colOff>
      <xdr:row>0</xdr:row>
      <xdr:rowOff>161928</xdr:rowOff>
    </xdr:from>
    <xdr:to>
      <xdr:col>49</xdr:col>
      <xdr:colOff>550334</xdr:colOff>
      <xdr:row>8</xdr:row>
      <xdr:rowOff>148169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Flux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11217" y="161928"/>
              <a:ext cx="8616950" cy="1235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370430</xdr:colOff>
      <xdr:row>0</xdr:row>
      <xdr:rowOff>95247</xdr:rowOff>
    </xdr:from>
    <xdr:to>
      <xdr:col>9</xdr:col>
      <xdr:colOff>402167</xdr:colOff>
      <xdr:row>5</xdr:row>
      <xdr:rowOff>10580</xdr:rowOff>
    </xdr:to>
    <xdr:sp macro="" textlink="">
      <xdr:nvSpPr>
        <xdr:cNvPr id="20" name="Retângulo de cantos arredondados 19"/>
        <xdr:cNvSpPr/>
      </xdr:nvSpPr>
      <xdr:spPr>
        <a:xfrm>
          <a:off x="984263" y="95247"/>
          <a:ext cx="4942404" cy="867833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Volumetria &amp; SLA</a:t>
          </a:r>
        </a:p>
      </xdr:txBody>
    </xdr:sp>
    <xdr:clientData/>
  </xdr:twoCellAnchor>
  <xdr:twoCellAnchor editAs="oneCell">
    <xdr:from>
      <xdr:col>0</xdr:col>
      <xdr:colOff>1</xdr:colOff>
      <xdr:row>0</xdr:row>
      <xdr:rowOff>93310</xdr:rowOff>
    </xdr:from>
    <xdr:to>
      <xdr:col>1</xdr:col>
      <xdr:colOff>376101</xdr:colOff>
      <xdr:row>6</xdr:row>
      <xdr:rowOff>68244</xdr:rowOff>
    </xdr:to>
    <xdr:pic>
      <xdr:nvPicPr>
        <xdr:cNvPr id="21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31"/>
        <a:stretch/>
      </xdr:blipFill>
      <xdr:spPr bwMode="auto">
        <a:xfrm flipH="1">
          <a:off x="1" y="93310"/>
          <a:ext cx="989933" cy="84276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54356</xdr:colOff>
      <xdr:row>0</xdr:row>
      <xdr:rowOff>74082</xdr:rowOff>
    </xdr:from>
    <xdr:to>
      <xdr:col>1</xdr:col>
      <xdr:colOff>321745</xdr:colOff>
      <xdr:row>6</xdr:row>
      <xdr:rowOff>87471</xdr:rowOff>
    </xdr:to>
    <xdr:pic>
      <xdr:nvPicPr>
        <xdr:cNvPr id="22" name="Picture 3" descr="C:\Documents and Settings\igorfur\Desktop\ itau_masterbrand_volumetrica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54356" y="74082"/>
          <a:ext cx="881222" cy="88122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523005</xdr:colOff>
      <xdr:row>1</xdr:row>
      <xdr:rowOff>130571</xdr:rowOff>
    </xdr:from>
    <xdr:to>
      <xdr:col>21</xdr:col>
      <xdr:colOff>215734</xdr:colOff>
      <xdr:row>4</xdr:row>
      <xdr:rowOff>110721</xdr:rowOff>
    </xdr:to>
    <xdr:sp macro="" textlink="">
      <xdr:nvSpPr>
        <xdr:cNvPr id="25" name="Retângulo de cantos arredondados 24"/>
        <xdr:cNvSpPr/>
      </xdr:nvSpPr>
      <xdr:spPr>
        <a:xfrm>
          <a:off x="9730505" y="321071"/>
          <a:ext cx="3375729" cy="276483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200" b="0" i="1" u="sng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Dashboard de Filtros</a:t>
          </a:r>
          <a:r>
            <a:rPr lang="pt-BR" sz="1200" b="0" i="1" u="none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 </a:t>
          </a:r>
          <a:r>
            <a:rPr lang="pt-BR" sz="1200" b="0" i="0" u="none">
              <a:solidFill>
                <a:schemeClr val="bg2">
                  <a:lumMod val="50000"/>
                </a:schemeClr>
              </a:solidFill>
              <a:latin typeface="Webdings" panose="05030102010509060703" pitchFamily="18" charset="2"/>
            </a:rPr>
            <a:t>6</a:t>
          </a:r>
        </a:p>
      </xdr:txBody>
    </xdr:sp>
    <xdr:clientData/>
  </xdr:twoCellAnchor>
  <xdr:twoCellAnchor>
    <xdr:from>
      <xdr:col>8</xdr:col>
      <xdr:colOff>67735</xdr:colOff>
      <xdr:row>4</xdr:row>
      <xdr:rowOff>68693</xdr:rowOff>
    </xdr:from>
    <xdr:to>
      <xdr:col>8</xdr:col>
      <xdr:colOff>67735</xdr:colOff>
      <xdr:row>34</xdr:row>
      <xdr:rowOff>87936</xdr:rowOff>
    </xdr:to>
    <xdr:cxnSp macro="">
      <xdr:nvCxnSpPr>
        <xdr:cNvPr id="26" name="Conector reto 25"/>
        <xdr:cNvCxnSpPr/>
      </xdr:nvCxnSpPr>
      <xdr:spPr>
        <a:xfrm>
          <a:off x="4978402" y="555526"/>
          <a:ext cx="0" cy="5734243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206357</xdr:colOff>
      <xdr:row>20</xdr:row>
      <xdr:rowOff>146047</xdr:rowOff>
    </xdr:from>
    <xdr:to>
      <xdr:col>15</xdr:col>
      <xdr:colOff>233913</xdr:colOff>
      <xdr:row>20</xdr:row>
      <xdr:rowOff>146047</xdr:rowOff>
    </xdr:to>
    <xdr:cxnSp macro="">
      <xdr:nvCxnSpPr>
        <xdr:cNvPr id="28" name="Conector reto 27"/>
        <xdr:cNvCxnSpPr/>
      </xdr:nvCxnSpPr>
      <xdr:spPr>
        <a:xfrm rot="5400000">
          <a:off x="4823885" y="-936648"/>
          <a:ext cx="0" cy="9235056"/>
        </a:xfrm>
        <a:prstGeom prst="line">
          <a:avLst/>
        </a:prstGeom>
        <a:ln>
          <a:solidFill>
            <a:schemeClr val="bg2">
              <a:lumMod val="9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448735</xdr:colOff>
      <xdr:row>2</xdr:row>
      <xdr:rowOff>35983</xdr:rowOff>
    </xdr:from>
    <xdr:to>
      <xdr:col>15</xdr:col>
      <xdr:colOff>448735</xdr:colOff>
      <xdr:row>36</xdr:row>
      <xdr:rowOff>141816</xdr:rowOff>
    </xdr:to>
    <xdr:cxnSp macro="">
      <xdr:nvCxnSpPr>
        <xdr:cNvPr id="29" name="Conector reto 28"/>
        <xdr:cNvCxnSpPr/>
      </xdr:nvCxnSpPr>
      <xdr:spPr>
        <a:xfrm>
          <a:off x="9656235" y="416983"/>
          <a:ext cx="0" cy="6307666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408357</xdr:colOff>
      <xdr:row>0</xdr:row>
      <xdr:rowOff>116416</xdr:rowOff>
    </xdr:from>
    <xdr:to>
      <xdr:col>15</xdr:col>
      <xdr:colOff>480642</xdr:colOff>
      <xdr:row>35</xdr:row>
      <xdr:rowOff>52917</xdr:rowOff>
    </xdr:to>
    <xdr:sp macro="" textlink="">
      <xdr:nvSpPr>
        <xdr:cNvPr id="30" name="Retângulo 29"/>
        <xdr:cNvSpPr/>
      </xdr:nvSpPr>
      <xdr:spPr>
        <a:xfrm>
          <a:off x="9615857" y="116416"/>
          <a:ext cx="72285" cy="6328834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428449</xdr:colOff>
      <xdr:row>0</xdr:row>
      <xdr:rowOff>112008</xdr:rowOff>
    </xdr:from>
    <xdr:to>
      <xdr:col>23</xdr:col>
      <xdr:colOff>307702</xdr:colOff>
      <xdr:row>0</xdr:row>
      <xdr:rowOff>142440</xdr:rowOff>
    </xdr:to>
    <xdr:sp macro="" textlink="">
      <xdr:nvSpPr>
        <xdr:cNvPr id="31" name="Retângulo 30"/>
        <xdr:cNvSpPr/>
      </xdr:nvSpPr>
      <xdr:spPr>
        <a:xfrm>
          <a:off x="9592156" y="112008"/>
          <a:ext cx="4766563" cy="30432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63532</xdr:colOff>
      <xdr:row>4</xdr:row>
      <xdr:rowOff>63834</xdr:rowOff>
    </xdr:from>
    <xdr:to>
      <xdr:col>9</xdr:col>
      <xdr:colOff>19038</xdr:colOff>
      <xdr:row>5</xdr:row>
      <xdr:rowOff>177465</xdr:rowOff>
    </xdr:to>
    <xdr:sp macro="" textlink="">
      <xdr:nvSpPr>
        <xdr:cNvPr id="32" name="Retângulo de cantos arredondados 31"/>
        <xdr:cNvSpPr/>
      </xdr:nvSpPr>
      <xdr:spPr>
        <a:xfrm>
          <a:off x="4360365" y="550667"/>
          <a:ext cx="1183173" cy="304131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Esteira</a:t>
          </a:r>
        </a:p>
      </xdr:txBody>
    </xdr:sp>
    <xdr:clientData/>
  </xdr:twoCellAnchor>
  <xdr:twoCellAnchor>
    <xdr:from>
      <xdr:col>8</xdr:col>
      <xdr:colOff>42971</xdr:colOff>
      <xdr:row>4</xdr:row>
      <xdr:rowOff>77656</xdr:rowOff>
    </xdr:from>
    <xdr:to>
      <xdr:col>10</xdr:col>
      <xdr:colOff>547588</xdr:colOff>
      <xdr:row>5</xdr:row>
      <xdr:rowOff>163639</xdr:rowOff>
    </xdr:to>
    <xdr:sp macro="" textlink="">
      <xdr:nvSpPr>
        <xdr:cNvPr id="33" name="Retângulo de cantos arredondados 32"/>
        <xdr:cNvSpPr/>
      </xdr:nvSpPr>
      <xdr:spPr>
        <a:xfrm>
          <a:off x="4953638" y="564489"/>
          <a:ext cx="1732283" cy="276483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Tipo de Garantia</a:t>
          </a:r>
        </a:p>
      </xdr:txBody>
    </xdr:sp>
    <xdr:clientData/>
  </xdr:twoCellAnchor>
  <xdr:twoCellAnchor>
    <xdr:from>
      <xdr:col>7</xdr:col>
      <xdr:colOff>4264</xdr:colOff>
      <xdr:row>20</xdr:row>
      <xdr:rowOff>99812</xdr:rowOff>
    </xdr:from>
    <xdr:to>
      <xdr:col>8</xdr:col>
      <xdr:colOff>573603</xdr:colOff>
      <xdr:row>22</xdr:row>
      <xdr:rowOff>22943</xdr:rowOff>
    </xdr:to>
    <xdr:sp macro="" textlink="">
      <xdr:nvSpPr>
        <xdr:cNvPr id="34" name="Retângulo de cantos arredondados 33"/>
        <xdr:cNvSpPr/>
      </xdr:nvSpPr>
      <xdr:spPr>
        <a:xfrm>
          <a:off x="4301097" y="3634645"/>
          <a:ext cx="1183173" cy="304131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Período</a:t>
          </a:r>
        </a:p>
      </xdr:txBody>
    </xdr:sp>
    <xdr:clientData/>
  </xdr:twoCellAnchor>
  <xdr:twoCellAnchor>
    <xdr:from>
      <xdr:col>8</xdr:col>
      <xdr:colOff>36621</xdr:colOff>
      <xdr:row>20</xdr:row>
      <xdr:rowOff>113634</xdr:rowOff>
    </xdr:from>
    <xdr:to>
      <xdr:col>10</xdr:col>
      <xdr:colOff>541238</xdr:colOff>
      <xdr:row>22</xdr:row>
      <xdr:rowOff>9117</xdr:rowOff>
    </xdr:to>
    <xdr:sp macro="" textlink="">
      <xdr:nvSpPr>
        <xdr:cNvPr id="35" name="Retângulo de cantos arredondados 34"/>
        <xdr:cNvSpPr/>
      </xdr:nvSpPr>
      <xdr:spPr>
        <a:xfrm>
          <a:off x="4947288" y="3648467"/>
          <a:ext cx="1732283" cy="276483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Segmento</a:t>
          </a:r>
        </a:p>
      </xdr:txBody>
    </xdr:sp>
    <xdr:clientData/>
  </xdr:twoCellAnchor>
  <xdr:twoCellAnchor editAs="oneCell">
    <xdr:from>
      <xdr:col>8</xdr:col>
      <xdr:colOff>234975</xdr:colOff>
      <xdr:row>5</xdr:row>
      <xdr:rowOff>138562</xdr:rowOff>
    </xdr:from>
    <xdr:to>
      <xdr:col>8</xdr:col>
      <xdr:colOff>484689</xdr:colOff>
      <xdr:row>7</xdr:row>
      <xdr:rowOff>7276</xdr:rowOff>
    </xdr:to>
    <xdr:pic macro="[0]!IrPara_TipoGar"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5642" y="815895"/>
          <a:ext cx="249714" cy="249714"/>
        </a:xfrm>
        <a:prstGeom prst="rect">
          <a:avLst/>
        </a:prstGeom>
      </xdr:spPr>
    </xdr:pic>
    <xdr:clientData/>
  </xdr:twoCellAnchor>
  <xdr:twoCellAnchor editAs="oneCell">
    <xdr:from>
      <xdr:col>8</xdr:col>
      <xdr:colOff>287891</xdr:colOff>
      <xdr:row>21</xdr:row>
      <xdr:rowOff>170312</xdr:rowOff>
    </xdr:from>
    <xdr:to>
      <xdr:col>8</xdr:col>
      <xdr:colOff>537605</xdr:colOff>
      <xdr:row>23</xdr:row>
      <xdr:rowOff>39026</xdr:rowOff>
    </xdr:to>
    <xdr:pic macro="[0]!IrPara_Segmento"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8558" y="3895645"/>
          <a:ext cx="249714" cy="249714"/>
        </a:xfrm>
        <a:prstGeom prst="rect">
          <a:avLst/>
        </a:prstGeom>
      </xdr:spPr>
    </xdr:pic>
    <xdr:clientData/>
  </xdr:twoCellAnchor>
  <xdr:twoCellAnchor editAs="oneCell">
    <xdr:from>
      <xdr:col>7</xdr:col>
      <xdr:colOff>361975</xdr:colOff>
      <xdr:row>21</xdr:row>
      <xdr:rowOff>159729</xdr:rowOff>
    </xdr:from>
    <xdr:to>
      <xdr:col>7</xdr:col>
      <xdr:colOff>611689</xdr:colOff>
      <xdr:row>23</xdr:row>
      <xdr:rowOff>28443</xdr:rowOff>
    </xdr:to>
    <xdr:pic macro="[0]!IrPara_Periodo">
      <xdr:nvPicPr>
        <xdr:cNvPr id="38" name="Imagem 3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08" y="3885062"/>
          <a:ext cx="249714" cy="249714"/>
        </a:xfrm>
        <a:prstGeom prst="rect">
          <a:avLst/>
        </a:prstGeom>
      </xdr:spPr>
    </xdr:pic>
    <xdr:clientData/>
  </xdr:twoCellAnchor>
  <xdr:twoCellAnchor editAs="oneCell">
    <xdr:from>
      <xdr:col>14</xdr:col>
      <xdr:colOff>518584</xdr:colOff>
      <xdr:row>0</xdr:row>
      <xdr:rowOff>116416</xdr:rowOff>
    </xdr:from>
    <xdr:to>
      <xdr:col>15</xdr:col>
      <xdr:colOff>252844</xdr:colOff>
      <xdr:row>3</xdr:row>
      <xdr:rowOff>41176</xdr:rowOff>
    </xdr:to>
    <xdr:pic macro="[0]!Macro4"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2251" y="116416"/>
          <a:ext cx="348093" cy="348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552449</xdr:colOff>
      <xdr:row>2</xdr:row>
      <xdr:rowOff>61911</xdr:rowOff>
    </xdr:from>
    <xdr:to>
      <xdr:col>11</xdr:col>
      <xdr:colOff>200024</xdr:colOff>
      <xdr:row>21</xdr:row>
      <xdr:rowOff>66674</xdr:rowOff>
    </xdr:to>
    <xdr:graphicFrame macro="">
      <xdr:nvGraphicFramePr>
        <xdr:cNvPr id="2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447675</xdr:colOff>
      <xdr:row>2</xdr:row>
      <xdr:rowOff>57150</xdr:rowOff>
    </xdr:from>
    <xdr:to>
      <xdr:col>17</xdr:col>
      <xdr:colOff>123825</xdr:colOff>
      <xdr:row>9</xdr:row>
      <xdr:rowOff>95250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 de Abertur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485775</xdr:colOff>
      <xdr:row>9</xdr:row>
      <xdr:rowOff>133350</xdr:rowOff>
    </xdr:from>
    <xdr:to>
      <xdr:col>17</xdr:col>
      <xdr:colOff>142875</xdr:colOff>
      <xdr:row>18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gment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0175" y="1847850"/>
              <a:ext cx="1485900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447675</xdr:colOff>
      <xdr:row>9</xdr:row>
      <xdr:rowOff>133350</xdr:rowOff>
    </xdr:from>
    <xdr:to>
      <xdr:col>14</xdr:col>
      <xdr:colOff>447675</xdr:colOff>
      <xdr:row>18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Garanti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1847850"/>
              <a:ext cx="1828800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0</xdr:col>
      <xdr:colOff>571500</xdr:colOff>
      <xdr:row>0</xdr:row>
      <xdr:rowOff>47625</xdr:rowOff>
    </xdr:from>
    <xdr:ext cx="3677032" cy="360355"/>
    <xdr:sp macro="" textlink="">
      <xdr:nvSpPr>
        <xdr:cNvPr id="6" name="CaixaDeTexto 5"/>
        <xdr:cNvSpPr txBox="1"/>
      </xdr:nvSpPr>
      <xdr:spPr>
        <a:xfrm>
          <a:off x="571500" y="47625"/>
          <a:ext cx="3677032" cy="3603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latin typeface="Trebuchet MS" panose="020B0603020202020204" pitchFamily="34" charset="0"/>
            </a:rPr>
            <a:t>Atendimento</a:t>
          </a:r>
          <a:r>
            <a:rPr lang="pt-BR" sz="1800" baseline="0">
              <a:latin typeface="Trebuchet MS" panose="020B0603020202020204" pitchFamily="34" charset="0"/>
            </a:rPr>
            <a:t> de Prazo por Esteira</a:t>
          </a:r>
          <a:endParaRPr lang="pt-BR" sz="1800">
            <a:latin typeface="Trebuchet MS" panose="020B0603020202020204" pitchFamily="34" charset="0"/>
          </a:endParaRPr>
        </a:p>
      </xdr:txBody>
    </xdr:sp>
    <xdr:clientData/>
  </xdr:oneCellAnchor>
  <xdr:twoCellAnchor>
    <xdr:from>
      <xdr:col>0</xdr:col>
      <xdr:colOff>502612</xdr:colOff>
      <xdr:row>23</xdr:row>
      <xdr:rowOff>88433</xdr:rowOff>
    </xdr:from>
    <xdr:to>
      <xdr:col>11</xdr:col>
      <xdr:colOff>287967</xdr:colOff>
      <xdr:row>35</xdr:row>
      <xdr:rowOff>74364</xdr:rowOff>
    </xdr:to>
    <xdr:sp macro="" textlink="">
      <xdr:nvSpPr>
        <xdr:cNvPr id="11" name="Retângulo de cantos arredondados 10"/>
        <xdr:cNvSpPr/>
      </xdr:nvSpPr>
      <xdr:spPr>
        <a:xfrm>
          <a:off x="502612" y="4469933"/>
          <a:ext cx="6490955" cy="227193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rebuchet MS" panose="020B0603020202020204" pitchFamily="34" charset="0"/>
            </a:rPr>
            <a:t>Gráfico</a:t>
          </a:r>
          <a:r>
            <a:rPr lang="pt-BR" sz="1000" baseline="0">
              <a:latin typeface="Trebuchet MS" panose="020B0603020202020204" pitchFamily="34" charset="0"/>
            </a:rPr>
            <a:t> no tempo da Coordenação Escolhida (% de SLA ou OLA atingido)</a:t>
          </a:r>
        </a:p>
      </xdr:txBody>
    </xdr:sp>
    <xdr:clientData/>
  </xdr:twoCellAnchor>
  <xdr:twoCellAnchor>
    <xdr:from>
      <xdr:col>12</xdr:col>
      <xdr:colOff>9525</xdr:colOff>
      <xdr:row>23</xdr:row>
      <xdr:rowOff>118470</xdr:rowOff>
    </xdr:from>
    <xdr:to>
      <xdr:col>14</xdr:col>
      <xdr:colOff>133350</xdr:colOff>
      <xdr:row>24</xdr:row>
      <xdr:rowOff>158627</xdr:rowOff>
    </xdr:to>
    <xdr:sp macro="" textlink="">
      <xdr:nvSpPr>
        <xdr:cNvPr id="13" name="Retângulo de cantos arredondados 12"/>
        <xdr:cNvSpPr/>
      </xdr:nvSpPr>
      <xdr:spPr>
        <a:xfrm>
          <a:off x="7324725" y="4547595"/>
          <a:ext cx="1343025" cy="230657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rebuchet MS" panose="020B0603020202020204" pitchFamily="34" charset="0"/>
            </a:rPr>
            <a:t>Vs SLA ou Vs Meta</a:t>
          </a:r>
        </a:p>
      </xdr:txBody>
    </xdr:sp>
    <xdr:clientData/>
  </xdr:twoCellAnchor>
  <xdr:twoCellAnchor>
    <xdr:from>
      <xdr:col>0</xdr:col>
      <xdr:colOff>542924</xdr:colOff>
      <xdr:row>25</xdr:row>
      <xdr:rowOff>52387</xdr:rowOff>
    </xdr:from>
    <xdr:to>
      <xdr:col>14</xdr:col>
      <xdr:colOff>190500</xdr:colOff>
      <xdr:row>39</xdr:row>
      <xdr:rowOff>128587</xdr:rowOff>
    </xdr:to>
    <xdr:graphicFrame macro="">
      <xdr:nvGraphicFramePr>
        <xdr:cNvPr id="7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3</xdr:row>
      <xdr:rowOff>42862</xdr:rowOff>
    </xdr:from>
    <xdr:to>
      <xdr:col>12</xdr:col>
      <xdr:colOff>133350</xdr:colOff>
      <xdr:row>17</xdr:row>
      <xdr:rowOff>119062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419100</xdr:colOff>
      <xdr:row>14</xdr:row>
      <xdr:rowOff>123825</xdr:rowOff>
    </xdr:from>
    <xdr:to>
      <xdr:col>21</xdr:col>
      <xdr:colOff>419100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Garantia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867025"/>
              <a:ext cx="1828800" cy="1800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3</xdr:row>
      <xdr:rowOff>42862</xdr:rowOff>
    </xdr:from>
    <xdr:to>
      <xdr:col>12</xdr:col>
      <xdr:colOff>133350</xdr:colOff>
      <xdr:row>17</xdr:row>
      <xdr:rowOff>119062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419100</xdr:colOff>
      <xdr:row>1</xdr:row>
      <xdr:rowOff>28575</xdr:rowOff>
    </xdr:from>
    <xdr:to>
      <xdr:col>21</xdr:col>
      <xdr:colOff>419100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luxo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352425</xdr:colOff>
      <xdr:row>14</xdr:row>
      <xdr:rowOff>95250</xdr:rowOff>
    </xdr:from>
    <xdr:to>
      <xdr:col>18</xdr:col>
      <xdr:colOff>352425</xdr:colOff>
      <xdr:row>19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gmento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800" y="283845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419100</xdr:colOff>
      <xdr:row>14</xdr:row>
      <xdr:rowOff>123825</xdr:rowOff>
    </xdr:from>
    <xdr:to>
      <xdr:col>21</xdr:col>
      <xdr:colOff>419100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Garantia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867025"/>
              <a:ext cx="1828800" cy="1800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342900</xdr:colOff>
      <xdr:row>1</xdr:row>
      <xdr:rowOff>28575</xdr:rowOff>
    </xdr:from>
    <xdr:to>
      <xdr:col>18</xdr:col>
      <xdr:colOff>342900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82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3</xdr:row>
      <xdr:rowOff>42862</xdr:rowOff>
    </xdr:from>
    <xdr:to>
      <xdr:col>12</xdr:col>
      <xdr:colOff>133350</xdr:colOff>
      <xdr:row>17</xdr:row>
      <xdr:rowOff>119062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419100</xdr:colOff>
      <xdr:row>1</xdr:row>
      <xdr:rowOff>28575</xdr:rowOff>
    </xdr:from>
    <xdr:to>
      <xdr:col>21</xdr:col>
      <xdr:colOff>419100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Flux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352425</xdr:colOff>
      <xdr:row>14</xdr:row>
      <xdr:rowOff>95250</xdr:rowOff>
    </xdr:from>
    <xdr:to>
      <xdr:col>18</xdr:col>
      <xdr:colOff>352425</xdr:colOff>
      <xdr:row>19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Segment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800" y="283845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419100</xdr:colOff>
      <xdr:row>14</xdr:row>
      <xdr:rowOff>123825</xdr:rowOff>
    </xdr:from>
    <xdr:to>
      <xdr:col>21</xdr:col>
      <xdr:colOff>419100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 de Garanti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867025"/>
              <a:ext cx="1828800" cy="1800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342900</xdr:colOff>
      <xdr:row>1</xdr:row>
      <xdr:rowOff>28575</xdr:rowOff>
    </xdr:from>
    <xdr:to>
      <xdr:col>18</xdr:col>
      <xdr:colOff>342900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Esteira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82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3</xdr:row>
      <xdr:rowOff>42862</xdr:rowOff>
    </xdr:from>
    <xdr:to>
      <xdr:col>12</xdr:col>
      <xdr:colOff>133350</xdr:colOff>
      <xdr:row>17</xdr:row>
      <xdr:rowOff>119062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419100</xdr:colOff>
      <xdr:row>1</xdr:row>
      <xdr:rowOff>28575</xdr:rowOff>
    </xdr:from>
    <xdr:to>
      <xdr:col>21</xdr:col>
      <xdr:colOff>419100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lux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352425</xdr:colOff>
      <xdr:row>14</xdr:row>
      <xdr:rowOff>95250</xdr:rowOff>
    </xdr:from>
    <xdr:to>
      <xdr:col>18</xdr:col>
      <xdr:colOff>352425</xdr:colOff>
      <xdr:row>19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gmento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800" y="283845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419100</xdr:colOff>
      <xdr:row>14</xdr:row>
      <xdr:rowOff>123825</xdr:rowOff>
    </xdr:from>
    <xdr:to>
      <xdr:col>21</xdr:col>
      <xdr:colOff>419100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Garantia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867025"/>
              <a:ext cx="1828800" cy="1800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342900</xdr:colOff>
      <xdr:row>1</xdr:row>
      <xdr:rowOff>28575</xdr:rowOff>
    </xdr:from>
    <xdr:to>
      <xdr:col>18</xdr:col>
      <xdr:colOff>342900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82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3</xdr:row>
      <xdr:rowOff>42862</xdr:rowOff>
    </xdr:from>
    <xdr:to>
      <xdr:col>12</xdr:col>
      <xdr:colOff>133350</xdr:colOff>
      <xdr:row>17</xdr:row>
      <xdr:rowOff>119062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419100</xdr:colOff>
      <xdr:row>1</xdr:row>
      <xdr:rowOff>28575</xdr:rowOff>
    </xdr:from>
    <xdr:to>
      <xdr:col>21</xdr:col>
      <xdr:colOff>419100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luxo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352425</xdr:colOff>
      <xdr:row>14</xdr:row>
      <xdr:rowOff>95250</xdr:rowOff>
    </xdr:from>
    <xdr:to>
      <xdr:col>18</xdr:col>
      <xdr:colOff>352425</xdr:colOff>
      <xdr:row>19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gmento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1800" y="283845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419100</xdr:colOff>
      <xdr:row>14</xdr:row>
      <xdr:rowOff>123825</xdr:rowOff>
    </xdr:from>
    <xdr:to>
      <xdr:col>21</xdr:col>
      <xdr:colOff>419100</xdr:colOff>
      <xdr:row>24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Garantia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7275" y="2867025"/>
              <a:ext cx="1828800" cy="1800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342900</xdr:colOff>
      <xdr:row>1</xdr:row>
      <xdr:rowOff>28575</xdr:rowOff>
    </xdr:from>
    <xdr:to>
      <xdr:col>18</xdr:col>
      <xdr:colOff>342900</xdr:colOff>
      <xdr:row>14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822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1219200</xdr:colOff>
      <xdr:row>8</xdr:row>
      <xdr:rowOff>119062</xdr:rowOff>
    </xdr:from>
    <xdr:to>
      <xdr:col>6</xdr:col>
      <xdr:colOff>457200</xdr:colOff>
      <xdr:row>23</xdr:row>
      <xdr:rowOff>4762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819150</xdr:colOff>
      <xdr:row>2</xdr:row>
      <xdr:rowOff>161925</xdr:rowOff>
    </xdr:from>
    <xdr:to>
      <xdr:col>7</xdr:col>
      <xdr:colOff>361950</xdr:colOff>
      <xdr:row>16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steira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05350" y="5429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447675</xdr:colOff>
      <xdr:row>2</xdr:row>
      <xdr:rowOff>161925</xdr:rowOff>
    </xdr:from>
    <xdr:to>
      <xdr:col>10</xdr:col>
      <xdr:colOff>276225</xdr:colOff>
      <xdr:row>16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luxo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9875" y="5429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361950</xdr:colOff>
      <xdr:row>2</xdr:row>
      <xdr:rowOff>123825</xdr:rowOff>
    </xdr:from>
    <xdr:to>
      <xdr:col>12</xdr:col>
      <xdr:colOff>742950</xdr:colOff>
      <xdr:row>15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gmento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0" y="504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647700</xdr:colOff>
      <xdr:row>16</xdr:row>
      <xdr:rowOff>95250</xdr:rowOff>
    </xdr:from>
    <xdr:to>
      <xdr:col>11</xdr:col>
      <xdr:colOff>285750</xdr:colOff>
      <xdr:row>23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a de Abertura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81700" y="31432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97366</xdr:colOff>
      <xdr:row>9</xdr:row>
      <xdr:rowOff>32275</xdr:rowOff>
    </xdr:from>
    <xdr:to>
      <xdr:col>15</xdr:col>
      <xdr:colOff>275166</xdr:colOff>
      <xdr:row>34</xdr:row>
      <xdr:rowOff>84667</xdr:rowOff>
    </xdr:to>
    <xdr:graphicFrame macro="">
      <xdr:nvGraphicFramePr>
        <xdr:cNvPr id="4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558269</xdr:colOff>
      <xdr:row>12</xdr:row>
      <xdr:rowOff>93574</xdr:rowOff>
    </xdr:from>
    <xdr:to>
      <xdr:col>17</xdr:col>
      <xdr:colOff>579438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2104407"/>
              <a:ext cx="1248836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412750</xdr:colOff>
      <xdr:row>12</xdr:row>
      <xdr:rowOff>93574</xdr:rowOff>
    </xdr:from>
    <xdr:to>
      <xdr:col>22</xdr:col>
      <xdr:colOff>185436</xdr:colOff>
      <xdr:row>17</xdr:row>
      <xdr:rowOff>179298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men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89417" y="2104407"/>
              <a:ext cx="1000352" cy="1038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33185</xdr:colOff>
      <xdr:row>12</xdr:row>
      <xdr:rowOff>93574</xdr:rowOff>
    </xdr:from>
    <xdr:to>
      <xdr:col>20</xdr:col>
      <xdr:colOff>338667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Garantia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2185" y="2104407"/>
              <a:ext cx="1533149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4</xdr:row>
      <xdr:rowOff>141695</xdr:rowOff>
    </xdr:from>
    <xdr:to>
      <xdr:col>22</xdr:col>
      <xdr:colOff>185436</xdr:colOff>
      <xdr:row>11</xdr:row>
      <xdr:rowOff>179795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de Abertura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628528"/>
              <a:ext cx="3924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23</xdr:row>
      <xdr:rowOff>189446</xdr:rowOff>
    </xdr:from>
    <xdr:to>
      <xdr:col>22</xdr:col>
      <xdr:colOff>185436</xdr:colOff>
      <xdr:row>34</xdr:row>
      <xdr:rowOff>21170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luxo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4295779"/>
              <a:ext cx="3924000" cy="1927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28</xdr:col>
      <xdr:colOff>148167</xdr:colOff>
      <xdr:row>0</xdr:row>
      <xdr:rowOff>21168</xdr:rowOff>
    </xdr:from>
    <xdr:to>
      <xdr:col>28</xdr:col>
      <xdr:colOff>148167</xdr:colOff>
      <xdr:row>35</xdr:row>
      <xdr:rowOff>95251</xdr:rowOff>
    </xdr:to>
    <xdr:cxnSp macro="">
      <xdr:nvCxnSpPr>
        <xdr:cNvPr id="12" name="Conector reto 11"/>
        <xdr:cNvCxnSpPr/>
      </xdr:nvCxnSpPr>
      <xdr:spPr>
        <a:xfrm>
          <a:off x="17216967" y="21168"/>
          <a:ext cx="0" cy="64653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407458</xdr:colOff>
      <xdr:row>8</xdr:row>
      <xdr:rowOff>73026</xdr:rowOff>
    </xdr:from>
    <xdr:to>
      <xdr:col>49</xdr:col>
      <xdr:colOff>603250</xdr:colOff>
      <xdr:row>30</xdr:row>
      <xdr:rowOff>187325</xdr:rowOff>
    </xdr:to>
    <xdr:graphicFrame macro="">
      <xdr:nvGraphicFramePr>
        <xdr:cNvPr id="1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264584</xdr:colOff>
      <xdr:row>31</xdr:row>
      <xdr:rowOff>63499</xdr:rowOff>
    </xdr:from>
    <xdr:to>
      <xdr:col>49</xdr:col>
      <xdr:colOff>536208</xdr:colOff>
      <xdr:row>33</xdr:row>
      <xdr:rowOff>42539</xdr:rowOff>
    </xdr:to>
    <xdr:sp macro="[0]!Macro2" textlink="">
      <xdr:nvSpPr>
        <xdr:cNvPr id="14" name="Seta para a esquerda 13"/>
        <xdr:cNvSpPr/>
      </xdr:nvSpPr>
      <xdr:spPr>
        <a:xfrm>
          <a:off x="30134984" y="5692774"/>
          <a:ext cx="271624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28</xdr:col>
      <xdr:colOff>412751</xdr:colOff>
      <xdr:row>1</xdr:row>
      <xdr:rowOff>116418</xdr:rowOff>
    </xdr:from>
    <xdr:to>
      <xdr:col>35</xdr:col>
      <xdr:colOff>285750</xdr:colOff>
      <xdr:row>5</xdr:row>
      <xdr:rowOff>105834</xdr:rowOff>
    </xdr:to>
    <xdr:sp macro="" textlink="">
      <xdr:nvSpPr>
        <xdr:cNvPr id="15" name="Retângulo de cantos arredondados 14"/>
        <xdr:cNvSpPr/>
      </xdr:nvSpPr>
      <xdr:spPr>
        <a:xfrm>
          <a:off x="17481551" y="306918"/>
          <a:ext cx="4140199" cy="475191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pt-BR" sz="1800">
              <a:solidFill>
                <a:sysClr val="windowText" lastClr="000000"/>
              </a:solidFill>
              <a:latin typeface="Trebuchet MS" panose="020B0603020202020204" pitchFamily="34" charset="0"/>
            </a:rPr>
            <a:t>Detalhamento</a:t>
          </a:r>
          <a:r>
            <a:rPr lang="pt-BR" sz="18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por Tipo de Demanda</a:t>
          </a:r>
          <a:endParaRPr lang="pt-BR" sz="1800">
            <a:solidFill>
              <a:sysClr val="windowText" lastClr="000000"/>
            </a:solidFill>
            <a:latin typeface="Trebuchet MS" panose="020B0603020202020204" pitchFamily="34" charset="0"/>
          </a:endParaRPr>
        </a:p>
      </xdr:txBody>
    </xdr:sp>
    <xdr:clientData/>
  </xdr:twoCellAnchor>
  <xdr:twoCellAnchor editAs="oneCell">
    <xdr:from>
      <xdr:col>35</xdr:col>
      <xdr:colOff>527050</xdr:colOff>
      <xdr:row>0</xdr:row>
      <xdr:rowOff>161928</xdr:rowOff>
    </xdr:from>
    <xdr:to>
      <xdr:col>49</xdr:col>
      <xdr:colOff>550334</xdr:colOff>
      <xdr:row>8</xdr:row>
      <xdr:rowOff>148169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Fluxo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011217" y="161928"/>
              <a:ext cx="8616950" cy="1235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370430</xdr:colOff>
      <xdr:row>0</xdr:row>
      <xdr:rowOff>95247</xdr:rowOff>
    </xdr:from>
    <xdr:to>
      <xdr:col>9</xdr:col>
      <xdr:colOff>402167</xdr:colOff>
      <xdr:row>5</xdr:row>
      <xdr:rowOff>10580</xdr:rowOff>
    </xdr:to>
    <xdr:sp macro="" textlink="">
      <xdr:nvSpPr>
        <xdr:cNvPr id="17" name="Retângulo de cantos arredondados 16"/>
        <xdr:cNvSpPr/>
      </xdr:nvSpPr>
      <xdr:spPr>
        <a:xfrm>
          <a:off x="984263" y="95247"/>
          <a:ext cx="4942404" cy="592666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Volumetria &amp; SLA - Visão por Esteira</a:t>
          </a:r>
        </a:p>
      </xdr:txBody>
    </xdr:sp>
    <xdr:clientData/>
  </xdr:twoCellAnchor>
  <xdr:twoCellAnchor editAs="oneCell">
    <xdr:from>
      <xdr:col>0</xdr:col>
      <xdr:colOff>1</xdr:colOff>
      <xdr:row>0</xdr:row>
      <xdr:rowOff>93310</xdr:rowOff>
    </xdr:from>
    <xdr:to>
      <xdr:col>1</xdr:col>
      <xdr:colOff>376101</xdr:colOff>
      <xdr:row>6</xdr:row>
      <xdr:rowOff>68244</xdr:rowOff>
    </xdr:to>
    <xdr:pic>
      <xdr:nvPicPr>
        <xdr:cNvPr id="18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31"/>
        <a:stretch/>
      </xdr:blipFill>
      <xdr:spPr bwMode="auto">
        <a:xfrm flipH="1">
          <a:off x="1" y="93310"/>
          <a:ext cx="985700" cy="8417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54356</xdr:colOff>
      <xdr:row>0</xdr:row>
      <xdr:rowOff>74082</xdr:rowOff>
    </xdr:from>
    <xdr:to>
      <xdr:col>1</xdr:col>
      <xdr:colOff>321745</xdr:colOff>
      <xdr:row>6</xdr:row>
      <xdr:rowOff>87471</xdr:rowOff>
    </xdr:to>
    <xdr:pic>
      <xdr:nvPicPr>
        <xdr:cNvPr id="19" name="Picture 3" descr="C:\Documents and Settings\igorfur\Desktop\ itau_masterbrand_volumetrica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4356" y="74082"/>
          <a:ext cx="876989" cy="880164"/>
        </a:xfrm>
        <a:prstGeom prst="rect">
          <a:avLst/>
        </a:prstGeom>
        <a:noFill/>
      </xdr:spPr>
    </xdr:pic>
    <xdr:clientData/>
  </xdr:twoCellAnchor>
  <xdr:twoCellAnchor>
    <xdr:from>
      <xdr:col>15</xdr:col>
      <xdr:colOff>523005</xdr:colOff>
      <xdr:row>1</xdr:row>
      <xdr:rowOff>130571</xdr:rowOff>
    </xdr:from>
    <xdr:to>
      <xdr:col>21</xdr:col>
      <xdr:colOff>215734</xdr:colOff>
      <xdr:row>4</xdr:row>
      <xdr:rowOff>110721</xdr:rowOff>
    </xdr:to>
    <xdr:sp macro="" textlink="">
      <xdr:nvSpPr>
        <xdr:cNvPr id="20" name="Retângulo de cantos arredondados 19"/>
        <xdr:cNvSpPr/>
      </xdr:nvSpPr>
      <xdr:spPr>
        <a:xfrm>
          <a:off x="9667005" y="321071"/>
          <a:ext cx="3350329" cy="275425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200" b="0" i="1" u="sng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Dashboard de Filtros</a:t>
          </a:r>
          <a:r>
            <a:rPr lang="pt-BR" sz="1200" b="0" i="1" u="none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 </a:t>
          </a:r>
          <a:r>
            <a:rPr lang="pt-BR" sz="1200" b="0" i="0" u="none">
              <a:solidFill>
                <a:schemeClr val="bg2">
                  <a:lumMod val="50000"/>
                </a:schemeClr>
              </a:solidFill>
              <a:latin typeface="Webdings" panose="05030102010509060703" pitchFamily="18" charset="2"/>
            </a:rPr>
            <a:t>6</a:t>
          </a:r>
        </a:p>
      </xdr:txBody>
    </xdr:sp>
    <xdr:clientData/>
  </xdr:twoCellAnchor>
  <xdr:twoCellAnchor>
    <xdr:from>
      <xdr:col>15</xdr:col>
      <xdr:colOff>448735</xdr:colOff>
      <xdr:row>2</xdr:row>
      <xdr:rowOff>35983</xdr:rowOff>
    </xdr:from>
    <xdr:to>
      <xdr:col>15</xdr:col>
      <xdr:colOff>448735</xdr:colOff>
      <xdr:row>36</xdr:row>
      <xdr:rowOff>141816</xdr:rowOff>
    </xdr:to>
    <xdr:cxnSp macro="">
      <xdr:nvCxnSpPr>
        <xdr:cNvPr id="23" name="Conector reto 22"/>
        <xdr:cNvCxnSpPr/>
      </xdr:nvCxnSpPr>
      <xdr:spPr>
        <a:xfrm>
          <a:off x="9592735" y="416983"/>
          <a:ext cx="0" cy="6306608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408357</xdr:colOff>
      <xdr:row>0</xdr:row>
      <xdr:rowOff>116416</xdr:rowOff>
    </xdr:from>
    <xdr:to>
      <xdr:col>15</xdr:col>
      <xdr:colOff>480642</xdr:colOff>
      <xdr:row>35</xdr:row>
      <xdr:rowOff>52917</xdr:rowOff>
    </xdr:to>
    <xdr:sp macro="" textlink="">
      <xdr:nvSpPr>
        <xdr:cNvPr id="24" name="Retângulo 23"/>
        <xdr:cNvSpPr/>
      </xdr:nvSpPr>
      <xdr:spPr>
        <a:xfrm>
          <a:off x="9552357" y="116416"/>
          <a:ext cx="72285" cy="6327776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428449</xdr:colOff>
      <xdr:row>0</xdr:row>
      <xdr:rowOff>112008</xdr:rowOff>
    </xdr:from>
    <xdr:to>
      <xdr:col>23</xdr:col>
      <xdr:colOff>307702</xdr:colOff>
      <xdr:row>0</xdr:row>
      <xdr:rowOff>142440</xdr:rowOff>
    </xdr:to>
    <xdr:sp macro="" textlink="">
      <xdr:nvSpPr>
        <xdr:cNvPr id="25" name="Retângulo 24"/>
        <xdr:cNvSpPr/>
      </xdr:nvSpPr>
      <xdr:spPr>
        <a:xfrm>
          <a:off x="9572449" y="112008"/>
          <a:ext cx="4756053" cy="30432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21167</xdr:colOff>
      <xdr:row>4</xdr:row>
      <xdr:rowOff>127000</xdr:rowOff>
    </xdr:from>
    <xdr:to>
      <xdr:col>10</xdr:col>
      <xdr:colOff>127000</xdr:colOff>
      <xdr:row>6</xdr:row>
      <xdr:rowOff>88900</xdr:rowOff>
    </xdr:to>
    <xdr:grpSp>
      <xdr:nvGrpSpPr>
        <xdr:cNvPr id="34" name="Grupo 33"/>
        <xdr:cNvGrpSpPr/>
      </xdr:nvGrpSpPr>
      <xdr:grpSpPr>
        <a:xfrm>
          <a:off x="4318000" y="613833"/>
          <a:ext cx="1947333" cy="342900"/>
          <a:chOff x="5588000" y="412750"/>
          <a:chExt cx="1947333" cy="342900"/>
        </a:xfrm>
      </xdr:grpSpPr>
      <xdr:sp macro="" textlink="">
        <xdr:nvSpPr>
          <xdr:cNvPr id="26" name="Retângulo de cantos arredondados 25"/>
          <xdr:cNvSpPr/>
        </xdr:nvSpPr>
        <xdr:spPr>
          <a:xfrm>
            <a:off x="5979615" y="434250"/>
            <a:ext cx="1555718" cy="30413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  <a:latin typeface="Trebuchet MS" panose="020B0603020202020204" pitchFamily="34" charset="0"/>
              </a:rPr>
              <a:t>Quebra</a:t>
            </a:r>
            <a:r>
              <a:rPr lang="pt-BR" sz="1100" b="1" baseline="0">
                <a:solidFill>
                  <a:schemeClr val="tx1">
                    <a:lumMod val="85000"/>
                    <a:lumOff val="15000"/>
                  </a:schemeClr>
                </a:solidFill>
                <a:latin typeface="Trebuchet MS" panose="020B0603020202020204" pitchFamily="34" charset="0"/>
              </a:rPr>
              <a:t> por Fluxo</a:t>
            </a:r>
            <a:endPara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endParaRPr>
          </a:p>
        </xdr:txBody>
      </xdr:sp>
      <xdr:pic macro="[0]!Macro1">
        <xdr:nvPicPr>
          <xdr:cNvPr id="11" name="Imagem 10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38310" y="466645"/>
            <a:ext cx="249714" cy="249714"/>
          </a:xfrm>
          <a:prstGeom prst="rect">
            <a:avLst/>
          </a:prstGeom>
        </xdr:spPr>
      </xdr:pic>
      <xdr:sp macro="" textlink="">
        <xdr:nvSpPr>
          <xdr:cNvPr id="33" name="Retângulo de cantos arredondados 32"/>
          <xdr:cNvSpPr/>
        </xdr:nvSpPr>
        <xdr:spPr>
          <a:xfrm>
            <a:off x="5588000" y="412750"/>
            <a:ext cx="1735667" cy="342900"/>
          </a:xfrm>
          <a:prstGeom prst="round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12</xdr:col>
      <xdr:colOff>306916</xdr:colOff>
      <xdr:row>0</xdr:row>
      <xdr:rowOff>137581</xdr:rowOff>
    </xdr:from>
    <xdr:to>
      <xdr:col>15</xdr:col>
      <xdr:colOff>63500</xdr:colOff>
      <xdr:row>8</xdr:row>
      <xdr:rowOff>148166</xdr:rowOff>
    </xdr:to>
    <xdr:sp macro="" textlink="">
      <xdr:nvSpPr>
        <xdr:cNvPr id="37" name="Retângulo de cantos arredondados 36"/>
        <xdr:cNvSpPr/>
      </xdr:nvSpPr>
      <xdr:spPr>
        <a:xfrm>
          <a:off x="7672916" y="137581"/>
          <a:ext cx="1598084" cy="1259418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261215</xdr:colOff>
      <xdr:row>1</xdr:row>
      <xdr:rowOff>21163</xdr:rowOff>
    </xdr:from>
    <xdr:to>
      <xdr:col>14</xdr:col>
      <xdr:colOff>447837</xdr:colOff>
      <xdr:row>4</xdr:row>
      <xdr:rowOff>28961</xdr:rowOff>
    </xdr:to>
    <xdr:sp macro="" textlink="">
      <xdr:nvSpPr>
        <xdr:cNvPr id="38" name="Retângulo de cantos arredondados 37"/>
        <xdr:cNvSpPr/>
      </xdr:nvSpPr>
      <xdr:spPr>
        <a:xfrm>
          <a:off x="7627215" y="211663"/>
          <a:ext cx="1414289" cy="304131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Navegação</a:t>
          </a:r>
        </a:p>
      </xdr:txBody>
    </xdr:sp>
    <xdr:clientData/>
  </xdr:twoCellAnchor>
  <xdr:twoCellAnchor editAs="oneCell">
    <xdr:from>
      <xdr:col>12</xdr:col>
      <xdr:colOff>539749</xdr:colOff>
      <xdr:row>1</xdr:row>
      <xdr:rowOff>20007</xdr:rowOff>
    </xdr:from>
    <xdr:to>
      <xdr:col>13</xdr:col>
      <xdr:colOff>222250</xdr:colOff>
      <xdr:row>4</xdr:row>
      <xdr:rowOff>20008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49" y="210507"/>
          <a:ext cx="296334" cy="296334"/>
        </a:xfrm>
        <a:prstGeom prst="rect">
          <a:avLst/>
        </a:prstGeom>
      </xdr:spPr>
    </xdr:pic>
    <xdr:clientData/>
  </xdr:twoCellAnchor>
  <xdr:twoCellAnchor>
    <xdr:from>
      <xdr:col>12</xdr:col>
      <xdr:colOff>539749</xdr:colOff>
      <xdr:row>4</xdr:row>
      <xdr:rowOff>148166</xdr:rowOff>
    </xdr:from>
    <xdr:to>
      <xdr:col>13</xdr:col>
      <xdr:colOff>197540</xdr:colOff>
      <xdr:row>6</xdr:row>
      <xdr:rowOff>127206</xdr:rowOff>
    </xdr:to>
    <xdr:sp macro="[0]!IrPara_Segmento" textlink="">
      <xdr:nvSpPr>
        <xdr:cNvPr id="36" name="Seta para a esquerda 35"/>
        <xdr:cNvSpPr/>
      </xdr:nvSpPr>
      <xdr:spPr>
        <a:xfrm>
          <a:off x="7905749" y="634999"/>
          <a:ext cx="271624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 editAs="oneCell">
    <xdr:from>
      <xdr:col>13</xdr:col>
      <xdr:colOff>349250</xdr:colOff>
      <xdr:row>4</xdr:row>
      <xdr:rowOff>125843</xdr:rowOff>
    </xdr:from>
    <xdr:to>
      <xdr:col>14</xdr:col>
      <xdr:colOff>95248</xdr:colOff>
      <xdr:row>6</xdr:row>
      <xdr:rowOff>104675</xdr:rowOff>
    </xdr:to>
    <xdr:pic macro="[0]!Abrir_SLA_Vol"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9083" y="612676"/>
          <a:ext cx="359832" cy="359832"/>
        </a:xfrm>
        <a:prstGeom prst="rect">
          <a:avLst/>
        </a:prstGeom>
      </xdr:spPr>
    </xdr:pic>
    <xdr:clientData/>
  </xdr:twoCellAnchor>
  <xdr:twoCellAnchor>
    <xdr:from>
      <xdr:col>14</xdr:col>
      <xdr:colOff>285749</xdr:colOff>
      <xdr:row>4</xdr:row>
      <xdr:rowOff>137583</xdr:rowOff>
    </xdr:from>
    <xdr:to>
      <xdr:col>14</xdr:col>
      <xdr:colOff>557373</xdr:colOff>
      <xdr:row>6</xdr:row>
      <xdr:rowOff>116623</xdr:rowOff>
    </xdr:to>
    <xdr:sp macro="[0]!IrPara_TipoGar" textlink="">
      <xdr:nvSpPr>
        <xdr:cNvPr id="31" name="Seta para a esquerda 30"/>
        <xdr:cNvSpPr/>
      </xdr:nvSpPr>
      <xdr:spPr>
        <a:xfrm flipH="1">
          <a:off x="8879416" y="624416"/>
          <a:ext cx="271624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 editAs="oneCell">
    <xdr:from>
      <xdr:col>13</xdr:col>
      <xdr:colOff>349249</xdr:colOff>
      <xdr:row>6</xdr:row>
      <xdr:rowOff>179917</xdr:rowOff>
    </xdr:from>
    <xdr:to>
      <xdr:col>14</xdr:col>
      <xdr:colOff>83508</xdr:colOff>
      <xdr:row>8</xdr:row>
      <xdr:rowOff>147010</xdr:rowOff>
    </xdr:to>
    <xdr:pic macro="[0]!Macro4"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9082" y="1047750"/>
          <a:ext cx="348093" cy="34809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225424</xdr:colOff>
      <xdr:row>11</xdr:row>
      <xdr:rowOff>158750</xdr:rowOff>
    </xdr:from>
    <xdr:to>
      <xdr:col>14</xdr:col>
      <xdr:colOff>486832</xdr:colOff>
      <xdr:row>34</xdr:row>
      <xdr:rowOff>169333</xdr:rowOff>
    </xdr:to>
    <xdr:graphicFrame macro="">
      <xdr:nvGraphicFramePr>
        <xdr:cNvPr id="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558269</xdr:colOff>
      <xdr:row>12</xdr:row>
      <xdr:rowOff>93574</xdr:rowOff>
    </xdr:from>
    <xdr:to>
      <xdr:col>17</xdr:col>
      <xdr:colOff>579438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2104407"/>
              <a:ext cx="1248836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412750</xdr:colOff>
      <xdr:row>12</xdr:row>
      <xdr:rowOff>93574</xdr:rowOff>
    </xdr:from>
    <xdr:to>
      <xdr:col>22</xdr:col>
      <xdr:colOff>185436</xdr:colOff>
      <xdr:row>17</xdr:row>
      <xdr:rowOff>179298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mento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89417" y="2104407"/>
              <a:ext cx="1000352" cy="1038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33185</xdr:colOff>
      <xdr:row>12</xdr:row>
      <xdr:rowOff>93574</xdr:rowOff>
    </xdr:from>
    <xdr:to>
      <xdr:col>20</xdr:col>
      <xdr:colOff>338667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Garantia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2185" y="2104407"/>
              <a:ext cx="1533149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4</xdr:row>
      <xdr:rowOff>141695</xdr:rowOff>
    </xdr:from>
    <xdr:to>
      <xdr:col>22</xdr:col>
      <xdr:colOff>185436</xdr:colOff>
      <xdr:row>11</xdr:row>
      <xdr:rowOff>179795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de Abertura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628528"/>
              <a:ext cx="3924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23</xdr:row>
      <xdr:rowOff>189446</xdr:rowOff>
    </xdr:from>
    <xdr:to>
      <xdr:col>22</xdr:col>
      <xdr:colOff>185436</xdr:colOff>
      <xdr:row>34</xdr:row>
      <xdr:rowOff>21170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luxo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4295779"/>
              <a:ext cx="3924000" cy="1927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25</xdr:col>
      <xdr:colOff>0</xdr:colOff>
      <xdr:row>0</xdr:row>
      <xdr:rowOff>21168</xdr:rowOff>
    </xdr:from>
    <xdr:to>
      <xdr:col>25</xdr:col>
      <xdr:colOff>0</xdr:colOff>
      <xdr:row>35</xdr:row>
      <xdr:rowOff>95251</xdr:rowOff>
    </xdr:to>
    <xdr:cxnSp macro="">
      <xdr:nvCxnSpPr>
        <xdr:cNvPr id="12" name="Conector reto 11"/>
        <xdr:cNvCxnSpPr/>
      </xdr:nvCxnSpPr>
      <xdr:spPr>
        <a:xfrm>
          <a:off x="17216967" y="21168"/>
          <a:ext cx="0" cy="64653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370430</xdr:colOff>
      <xdr:row>0</xdr:row>
      <xdr:rowOff>95247</xdr:rowOff>
    </xdr:from>
    <xdr:to>
      <xdr:col>11</xdr:col>
      <xdr:colOff>465666</xdr:colOff>
      <xdr:row>5</xdr:row>
      <xdr:rowOff>10580</xdr:rowOff>
    </xdr:to>
    <xdr:sp macro="" textlink="">
      <xdr:nvSpPr>
        <xdr:cNvPr id="17" name="Retângulo de cantos arredondados 16"/>
        <xdr:cNvSpPr/>
      </xdr:nvSpPr>
      <xdr:spPr>
        <a:xfrm>
          <a:off x="984263" y="95247"/>
          <a:ext cx="6233570" cy="592666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Volumetria &amp; SLA - Visão por Tipo</a:t>
          </a:r>
          <a:r>
            <a:rPr lang="pt-BR" sz="2000" b="1" baseline="0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 de Garantia</a:t>
          </a:r>
          <a:endParaRPr lang="pt-BR" sz="2000" b="1">
            <a:solidFill>
              <a:schemeClr val="bg2">
                <a:lumMod val="50000"/>
              </a:schemeClr>
            </a:solidFill>
            <a:latin typeface="Trebuchet MS" panose="020B0603020202020204" pitchFamily="34" charset="0"/>
          </a:endParaRPr>
        </a:p>
      </xdr:txBody>
    </xdr:sp>
    <xdr:clientData/>
  </xdr:twoCellAnchor>
  <xdr:twoCellAnchor editAs="oneCell">
    <xdr:from>
      <xdr:col>0</xdr:col>
      <xdr:colOff>1</xdr:colOff>
      <xdr:row>0</xdr:row>
      <xdr:rowOff>93310</xdr:rowOff>
    </xdr:from>
    <xdr:to>
      <xdr:col>1</xdr:col>
      <xdr:colOff>376101</xdr:colOff>
      <xdr:row>6</xdr:row>
      <xdr:rowOff>68244</xdr:rowOff>
    </xdr:to>
    <xdr:pic>
      <xdr:nvPicPr>
        <xdr:cNvPr id="18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31"/>
        <a:stretch/>
      </xdr:blipFill>
      <xdr:spPr bwMode="auto">
        <a:xfrm flipH="1">
          <a:off x="1" y="93310"/>
          <a:ext cx="985700" cy="8417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54356</xdr:colOff>
      <xdr:row>0</xdr:row>
      <xdr:rowOff>74082</xdr:rowOff>
    </xdr:from>
    <xdr:to>
      <xdr:col>1</xdr:col>
      <xdr:colOff>321745</xdr:colOff>
      <xdr:row>6</xdr:row>
      <xdr:rowOff>87471</xdr:rowOff>
    </xdr:to>
    <xdr:pic>
      <xdr:nvPicPr>
        <xdr:cNvPr id="19" name="Picture 3" descr="C:\Documents and Settings\igorfur\Desktop\ itau_masterbrand_volumetric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4356" y="74082"/>
          <a:ext cx="876989" cy="880164"/>
        </a:xfrm>
        <a:prstGeom prst="rect">
          <a:avLst/>
        </a:prstGeom>
        <a:noFill/>
      </xdr:spPr>
    </xdr:pic>
    <xdr:clientData/>
  </xdr:twoCellAnchor>
  <xdr:twoCellAnchor>
    <xdr:from>
      <xdr:col>15</xdr:col>
      <xdr:colOff>523005</xdr:colOff>
      <xdr:row>1</xdr:row>
      <xdr:rowOff>130571</xdr:rowOff>
    </xdr:from>
    <xdr:to>
      <xdr:col>21</xdr:col>
      <xdr:colOff>215734</xdr:colOff>
      <xdr:row>4</xdr:row>
      <xdr:rowOff>110721</xdr:rowOff>
    </xdr:to>
    <xdr:sp macro="" textlink="">
      <xdr:nvSpPr>
        <xdr:cNvPr id="20" name="Retângulo de cantos arredondados 19"/>
        <xdr:cNvSpPr/>
      </xdr:nvSpPr>
      <xdr:spPr>
        <a:xfrm>
          <a:off x="9667005" y="321071"/>
          <a:ext cx="3350329" cy="275425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200" b="0" i="1" u="sng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Dashboard de Filtros</a:t>
          </a:r>
          <a:r>
            <a:rPr lang="pt-BR" sz="1200" b="0" i="1" u="none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 </a:t>
          </a:r>
          <a:r>
            <a:rPr lang="pt-BR" sz="1200" b="0" i="0" u="none">
              <a:solidFill>
                <a:schemeClr val="bg2">
                  <a:lumMod val="50000"/>
                </a:schemeClr>
              </a:solidFill>
              <a:latin typeface="Webdings" panose="05030102010509060703" pitchFamily="18" charset="2"/>
            </a:rPr>
            <a:t>6</a:t>
          </a:r>
        </a:p>
      </xdr:txBody>
    </xdr:sp>
    <xdr:clientData/>
  </xdr:twoCellAnchor>
  <xdr:twoCellAnchor>
    <xdr:from>
      <xdr:col>15</xdr:col>
      <xdr:colOff>448735</xdr:colOff>
      <xdr:row>2</xdr:row>
      <xdr:rowOff>35983</xdr:rowOff>
    </xdr:from>
    <xdr:to>
      <xdr:col>15</xdr:col>
      <xdr:colOff>448735</xdr:colOff>
      <xdr:row>36</xdr:row>
      <xdr:rowOff>141816</xdr:rowOff>
    </xdr:to>
    <xdr:cxnSp macro="">
      <xdr:nvCxnSpPr>
        <xdr:cNvPr id="23" name="Conector reto 22"/>
        <xdr:cNvCxnSpPr/>
      </xdr:nvCxnSpPr>
      <xdr:spPr>
        <a:xfrm>
          <a:off x="9592735" y="416983"/>
          <a:ext cx="0" cy="6306608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408357</xdr:colOff>
      <xdr:row>0</xdr:row>
      <xdr:rowOff>116416</xdr:rowOff>
    </xdr:from>
    <xdr:to>
      <xdr:col>15</xdr:col>
      <xdr:colOff>480642</xdr:colOff>
      <xdr:row>35</xdr:row>
      <xdr:rowOff>52917</xdr:rowOff>
    </xdr:to>
    <xdr:sp macro="" textlink="">
      <xdr:nvSpPr>
        <xdr:cNvPr id="24" name="Retângulo 23"/>
        <xdr:cNvSpPr/>
      </xdr:nvSpPr>
      <xdr:spPr>
        <a:xfrm>
          <a:off x="9552357" y="116416"/>
          <a:ext cx="72285" cy="6327776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428449</xdr:colOff>
      <xdr:row>0</xdr:row>
      <xdr:rowOff>112008</xdr:rowOff>
    </xdr:from>
    <xdr:to>
      <xdr:col>23</xdr:col>
      <xdr:colOff>307702</xdr:colOff>
      <xdr:row>0</xdr:row>
      <xdr:rowOff>142440</xdr:rowOff>
    </xdr:to>
    <xdr:sp macro="" textlink="">
      <xdr:nvSpPr>
        <xdr:cNvPr id="25" name="Retângulo 24"/>
        <xdr:cNvSpPr/>
      </xdr:nvSpPr>
      <xdr:spPr>
        <a:xfrm>
          <a:off x="9572449" y="112008"/>
          <a:ext cx="4756053" cy="30432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190501</xdr:colOff>
      <xdr:row>7</xdr:row>
      <xdr:rowOff>31750</xdr:rowOff>
    </xdr:from>
    <xdr:to>
      <xdr:col>0</xdr:col>
      <xdr:colOff>538594</xdr:colOff>
      <xdr:row>8</xdr:row>
      <xdr:rowOff>189343</xdr:rowOff>
    </xdr:to>
    <xdr:pic macro="[0]!Macro4"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089025"/>
          <a:ext cx="348093" cy="348093"/>
        </a:xfrm>
        <a:prstGeom prst="rect">
          <a:avLst/>
        </a:prstGeom>
      </xdr:spPr>
    </xdr:pic>
    <xdr:clientData/>
  </xdr:twoCellAnchor>
  <xdr:twoCellAnchor>
    <xdr:from>
      <xdr:col>12</xdr:col>
      <xdr:colOff>232834</xdr:colOff>
      <xdr:row>1</xdr:row>
      <xdr:rowOff>10583</xdr:rowOff>
    </xdr:from>
    <xdr:to>
      <xdr:col>14</xdr:col>
      <xdr:colOff>603251</xdr:colOff>
      <xdr:row>9</xdr:row>
      <xdr:rowOff>21168</xdr:rowOff>
    </xdr:to>
    <xdr:grpSp>
      <xdr:nvGrpSpPr>
        <xdr:cNvPr id="2" name="Grupo 1"/>
        <xdr:cNvGrpSpPr/>
      </xdr:nvGrpSpPr>
      <xdr:grpSpPr>
        <a:xfrm>
          <a:off x="7598834" y="201083"/>
          <a:ext cx="1598084" cy="1259418"/>
          <a:chOff x="7683500" y="105834"/>
          <a:chExt cx="1598084" cy="1259418"/>
        </a:xfrm>
      </xdr:grpSpPr>
      <xdr:sp macro="" textlink="">
        <xdr:nvSpPr>
          <xdr:cNvPr id="30" name="Retângulo de cantos arredondados 29"/>
          <xdr:cNvSpPr/>
        </xdr:nvSpPr>
        <xdr:spPr>
          <a:xfrm>
            <a:off x="7683500" y="105834"/>
            <a:ext cx="1598084" cy="1259418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IrPara_Esteira" textlink="">
        <xdr:nvSpPr>
          <xdr:cNvPr id="22" name="Seta para a esquerda 21"/>
          <xdr:cNvSpPr/>
        </xdr:nvSpPr>
        <xdr:spPr>
          <a:xfrm>
            <a:off x="7852831" y="645582"/>
            <a:ext cx="271624" cy="360040"/>
          </a:xfrm>
          <a:prstGeom prst="leftArrow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 macro="[0]!Abrir_SLA_Vol">
        <xdr:nvPicPr>
          <xdr:cNvPr id="26" name="Imagem 25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76165" y="633843"/>
            <a:ext cx="359832" cy="359832"/>
          </a:xfrm>
          <a:prstGeom prst="rect">
            <a:avLst/>
          </a:prstGeom>
        </xdr:spPr>
      </xdr:pic>
      <xdr:sp macro="[0]!IrPara_Periodo" textlink="">
        <xdr:nvSpPr>
          <xdr:cNvPr id="27" name="Seta para a esquerda 26"/>
          <xdr:cNvSpPr/>
        </xdr:nvSpPr>
        <xdr:spPr>
          <a:xfrm flipH="1">
            <a:off x="8826498" y="634999"/>
            <a:ext cx="271624" cy="360040"/>
          </a:xfrm>
          <a:prstGeom prst="leftArrow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sp macro="" textlink="">
        <xdr:nvSpPr>
          <xdr:cNvPr id="28" name="Retângulo de cantos arredondados 27"/>
          <xdr:cNvSpPr/>
        </xdr:nvSpPr>
        <xdr:spPr>
          <a:xfrm>
            <a:off x="7704663" y="149321"/>
            <a:ext cx="1414289" cy="30413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  <a:latin typeface="Trebuchet MS" panose="020B0603020202020204" pitchFamily="34" charset="0"/>
              </a:rPr>
              <a:t>Navegação</a:t>
            </a:r>
          </a:p>
        </xdr:txBody>
      </xdr:sp>
      <xdr:pic>
        <xdr:nvPicPr>
          <xdr:cNvPr id="29" name="Imagem 28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3197" y="148165"/>
            <a:ext cx="296334" cy="296334"/>
          </a:xfrm>
          <a:prstGeom prst="rect">
            <a:avLst/>
          </a:prstGeom>
        </xdr:spPr>
      </xdr:pic>
      <xdr:pic macro="[0]!Macro4">
        <xdr:nvPicPr>
          <xdr:cNvPr id="31" name="Imagem 30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6750" y="1005417"/>
            <a:ext cx="348093" cy="348093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9</xdr:row>
      <xdr:rowOff>95250</xdr:rowOff>
    </xdr:from>
    <xdr:to>
      <xdr:col>15</xdr:col>
      <xdr:colOff>95250</xdr:colOff>
      <xdr:row>34</xdr:row>
      <xdr:rowOff>119057</xdr:rowOff>
    </xdr:to>
    <xdr:graphicFrame macro="">
      <xdr:nvGraphicFramePr>
        <xdr:cNvPr id="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558269</xdr:colOff>
      <xdr:row>12</xdr:row>
      <xdr:rowOff>93574</xdr:rowOff>
    </xdr:from>
    <xdr:to>
      <xdr:col>17</xdr:col>
      <xdr:colOff>579438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2104407"/>
              <a:ext cx="1248836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412750</xdr:colOff>
      <xdr:row>12</xdr:row>
      <xdr:rowOff>93574</xdr:rowOff>
    </xdr:from>
    <xdr:to>
      <xdr:col>22</xdr:col>
      <xdr:colOff>185436</xdr:colOff>
      <xdr:row>17</xdr:row>
      <xdr:rowOff>179298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mento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89417" y="2104407"/>
              <a:ext cx="1000352" cy="1038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33185</xdr:colOff>
      <xdr:row>12</xdr:row>
      <xdr:rowOff>93574</xdr:rowOff>
    </xdr:from>
    <xdr:to>
      <xdr:col>20</xdr:col>
      <xdr:colOff>338667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Garantia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2185" y="2104407"/>
              <a:ext cx="1533149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4</xdr:row>
      <xdr:rowOff>141695</xdr:rowOff>
    </xdr:from>
    <xdr:to>
      <xdr:col>22</xdr:col>
      <xdr:colOff>185436</xdr:colOff>
      <xdr:row>11</xdr:row>
      <xdr:rowOff>179795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de Abertura 6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628528"/>
              <a:ext cx="3924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23</xdr:row>
      <xdr:rowOff>189446</xdr:rowOff>
    </xdr:from>
    <xdr:to>
      <xdr:col>22</xdr:col>
      <xdr:colOff>185436</xdr:colOff>
      <xdr:row>34</xdr:row>
      <xdr:rowOff>21170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luxo 1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1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4295779"/>
              <a:ext cx="3924000" cy="1927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24</xdr:col>
      <xdr:colOff>0</xdr:colOff>
      <xdr:row>0</xdr:row>
      <xdr:rowOff>21168</xdr:rowOff>
    </xdr:from>
    <xdr:to>
      <xdr:col>24</xdr:col>
      <xdr:colOff>0</xdr:colOff>
      <xdr:row>35</xdr:row>
      <xdr:rowOff>95251</xdr:rowOff>
    </xdr:to>
    <xdr:cxnSp macro="">
      <xdr:nvCxnSpPr>
        <xdr:cNvPr id="12" name="Conector reto 11"/>
        <xdr:cNvCxnSpPr/>
      </xdr:nvCxnSpPr>
      <xdr:spPr>
        <a:xfrm>
          <a:off x="17216967" y="21168"/>
          <a:ext cx="0" cy="64653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</xdr:row>
      <xdr:rowOff>116418</xdr:rowOff>
    </xdr:from>
    <xdr:to>
      <xdr:col>24</xdr:col>
      <xdr:colOff>0</xdr:colOff>
      <xdr:row>5</xdr:row>
      <xdr:rowOff>105834</xdr:rowOff>
    </xdr:to>
    <xdr:sp macro="" textlink="">
      <xdr:nvSpPr>
        <xdr:cNvPr id="15" name="Retângulo de cantos arredondados 14"/>
        <xdr:cNvSpPr/>
      </xdr:nvSpPr>
      <xdr:spPr>
        <a:xfrm>
          <a:off x="17481551" y="306918"/>
          <a:ext cx="4140199" cy="475191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pt-BR" sz="1800">
              <a:solidFill>
                <a:sysClr val="windowText" lastClr="000000"/>
              </a:solidFill>
              <a:latin typeface="Trebuchet MS" panose="020B0603020202020204" pitchFamily="34" charset="0"/>
            </a:rPr>
            <a:t>Detalhamento</a:t>
          </a:r>
          <a:r>
            <a:rPr lang="pt-BR" sz="1800" baseline="0">
              <a:solidFill>
                <a:sysClr val="windowText" lastClr="000000"/>
              </a:solidFill>
              <a:latin typeface="Trebuchet MS" panose="020B0603020202020204" pitchFamily="34" charset="0"/>
            </a:rPr>
            <a:t> por Tipo de Demanda</a:t>
          </a:r>
          <a:endParaRPr lang="pt-BR" sz="1800">
            <a:solidFill>
              <a:sysClr val="windowText" lastClr="000000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1</xdr:col>
      <xdr:colOff>370430</xdr:colOff>
      <xdr:row>0</xdr:row>
      <xdr:rowOff>95247</xdr:rowOff>
    </xdr:from>
    <xdr:to>
      <xdr:col>9</xdr:col>
      <xdr:colOff>402167</xdr:colOff>
      <xdr:row>5</xdr:row>
      <xdr:rowOff>10580</xdr:rowOff>
    </xdr:to>
    <xdr:sp macro="" textlink="">
      <xdr:nvSpPr>
        <xdr:cNvPr id="17" name="Retângulo de cantos arredondados 16"/>
        <xdr:cNvSpPr/>
      </xdr:nvSpPr>
      <xdr:spPr>
        <a:xfrm>
          <a:off x="980030" y="95247"/>
          <a:ext cx="4908537" cy="591608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Volumetria &amp; SLA</a:t>
          </a:r>
        </a:p>
      </xdr:txBody>
    </xdr:sp>
    <xdr:clientData/>
  </xdr:twoCellAnchor>
  <xdr:twoCellAnchor editAs="oneCell">
    <xdr:from>
      <xdr:col>0</xdr:col>
      <xdr:colOff>1</xdr:colOff>
      <xdr:row>0</xdr:row>
      <xdr:rowOff>93310</xdr:rowOff>
    </xdr:from>
    <xdr:to>
      <xdr:col>1</xdr:col>
      <xdr:colOff>376101</xdr:colOff>
      <xdr:row>6</xdr:row>
      <xdr:rowOff>68244</xdr:rowOff>
    </xdr:to>
    <xdr:pic>
      <xdr:nvPicPr>
        <xdr:cNvPr id="18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31"/>
        <a:stretch/>
      </xdr:blipFill>
      <xdr:spPr bwMode="auto">
        <a:xfrm flipH="1">
          <a:off x="1" y="93310"/>
          <a:ext cx="985700" cy="8417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54356</xdr:colOff>
      <xdr:row>0</xdr:row>
      <xdr:rowOff>74082</xdr:rowOff>
    </xdr:from>
    <xdr:to>
      <xdr:col>1</xdr:col>
      <xdr:colOff>321745</xdr:colOff>
      <xdr:row>6</xdr:row>
      <xdr:rowOff>87471</xdr:rowOff>
    </xdr:to>
    <xdr:pic>
      <xdr:nvPicPr>
        <xdr:cNvPr id="19" name="Picture 3" descr="C:\Documents and Settings\igorfur\Desktop\ itau_masterbrand_volumetric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4356" y="74082"/>
          <a:ext cx="876989" cy="880164"/>
        </a:xfrm>
        <a:prstGeom prst="rect">
          <a:avLst/>
        </a:prstGeom>
        <a:noFill/>
      </xdr:spPr>
    </xdr:pic>
    <xdr:clientData/>
  </xdr:twoCellAnchor>
  <xdr:twoCellAnchor>
    <xdr:from>
      <xdr:col>15</xdr:col>
      <xdr:colOff>523005</xdr:colOff>
      <xdr:row>1</xdr:row>
      <xdr:rowOff>130571</xdr:rowOff>
    </xdr:from>
    <xdr:to>
      <xdr:col>21</xdr:col>
      <xdr:colOff>215734</xdr:colOff>
      <xdr:row>4</xdr:row>
      <xdr:rowOff>110721</xdr:rowOff>
    </xdr:to>
    <xdr:sp macro="" textlink="">
      <xdr:nvSpPr>
        <xdr:cNvPr id="20" name="Retângulo de cantos arredondados 19"/>
        <xdr:cNvSpPr/>
      </xdr:nvSpPr>
      <xdr:spPr>
        <a:xfrm>
          <a:off x="9667005" y="321071"/>
          <a:ext cx="3350329" cy="275425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200" b="0" i="1" u="sng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Dashboard de Filtros</a:t>
          </a:r>
          <a:r>
            <a:rPr lang="pt-BR" sz="1200" b="0" i="1" u="none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 </a:t>
          </a:r>
          <a:r>
            <a:rPr lang="pt-BR" sz="1200" b="0" i="0" u="none">
              <a:solidFill>
                <a:schemeClr val="bg2">
                  <a:lumMod val="50000"/>
                </a:schemeClr>
              </a:solidFill>
              <a:latin typeface="Webdings" panose="05030102010509060703" pitchFamily="18" charset="2"/>
            </a:rPr>
            <a:t>6</a:t>
          </a:r>
        </a:p>
      </xdr:txBody>
    </xdr:sp>
    <xdr:clientData/>
  </xdr:twoCellAnchor>
  <xdr:twoCellAnchor>
    <xdr:from>
      <xdr:col>15</xdr:col>
      <xdr:colOff>448735</xdr:colOff>
      <xdr:row>2</xdr:row>
      <xdr:rowOff>35983</xdr:rowOff>
    </xdr:from>
    <xdr:to>
      <xdr:col>15</xdr:col>
      <xdr:colOff>448735</xdr:colOff>
      <xdr:row>36</xdr:row>
      <xdr:rowOff>141816</xdr:rowOff>
    </xdr:to>
    <xdr:cxnSp macro="">
      <xdr:nvCxnSpPr>
        <xdr:cNvPr id="23" name="Conector reto 22"/>
        <xdr:cNvCxnSpPr/>
      </xdr:nvCxnSpPr>
      <xdr:spPr>
        <a:xfrm>
          <a:off x="9592735" y="416983"/>
          <a:ext cx="0" cy="6306608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408357</xdr:colOff>
      <xdr:row>0</xdr:row>
      <xdr:rowOff>116416</xdr:rowOff>
    </xdr:from>
    <xdr:to>
      <xdr:col>15</xdr:col>
      <xdr:colOff>480642</xdr:colOff>
      <xdr:row>35</xdr:row>
      <xdr:rowOff>52917</xdr:rowOff>
    </xdr:to>
    <xdr:sp macro="" textlink="">
      <xdr:nvSpPr>
        <xdr:cNvPr id="24" name="Retângulo 23"/>
        <xdr:cNvSpPr/>
      </xdr:nvSpPr>
      <xdr:spPr>
        <a:xfrm>
          <a:off x="9552357" y="116416"/>
          <a:ext cx="72285" cy="6327776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428449</xdr:colOff>
      <xdr:row>0</xdr:row>
      <xdr:rowOff>112008</xdr:rowOff>
    </xdr:from>
    <xdr:to>
      <xdr:col>23</xdr:col>
      <xdr:colOff>307702</xdr:colOff>
      <xdr:row>0</xdr:row>
      <xdr:rowOff>142440</xdr:rowOff>
    </xdr:to>
    <xdr:sp macro="" textlink="">
      <xdr:nvSpPr>
        <xdr:cNvPr id="25" name="Retângulo 24"/>
        <xdr:cNvSpPr/>
      </xdr:nvSpPr>
      <xdr:spPr>
        <a:xfrm>
          <a:off x="9572449" y="112008"/>
          <a:ext cx="4756053" cy="30432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190501</xdr:colOff>
      <xdr:row>7</xdr:row>
      <xdr:rowOff>31750</xdr:rowOff>
    </xdr:from>
    <xdr:to>
      <xdr:col>0</xdr:col>
      <xdr:colOff>538594</xdr:colOff>
      <xdr:row>8</xdr:row>
      <xdr:rowOff>189343</xdr:rowOff>
    </xdr:to>
    <xdr:pic macro="[0]!Macro4"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089025"/>
          <a:ext cx="348093" cy="348093"/>
        </a:xfrm>
        <a:prstGeom prst="rect">
          <a:avLst/>
        </a:prstGeom>
      </xdr:spPr>
    </xdr:pic>
    <xdr:clientData/>
  </xdr:twoCellAnchor>
  <xdr:twoCellAnchor>
    <xdr:from>
      <xdr:col>12</xdr:col>
      <xdr:colOff>222250</xdr:colOff>
      <xdr:row>0</xdr:row>
      <xdr:rowOff>148167</xdr:rowOff>
    </xdr:from>
    <xdr:to>
      <xdr:col>14</xdr:col>
      <xdr:colOff>592667</xdr:colOff>
      <xdr:row>8</xdr:row>
      <xdr:rowOff>158752</xdr:rowOff>
    </xdr:to>
    <xdr:sp macro="" textlink="">
      <xdr:nvSpPr>
        <xdr:cNvPr id="34" name="Retângulo de cantos arredondados 33"/>
        <xdr:cNvSpPr/>
      </xdr:nvSpPr>
      <xdr:spPr>
        <a:xfrm>
          <a:off x="7537450" y="148167"/>
          <a:ext cx="1589617" cy="125836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455083</xdr:colOff>
      <xdr:row>5</xdr:row>
      <xdr:rowOff>52918</xdr:rowOff>
    </xdr:from>
    <xdr:to>
      <xdr:col>13</xdr:col>
      <xdr:colOff>112874</xdr:colOff>
      <xdr:row>7</xdr:row>
      <xdr:rowOff>31958</xdr:rowOff>
    </xdr:to>
    <xdr:sp macro="[0]!IrPara_TipoGar" textlink="">
      <xdr:nvSpPr>
        <xdr:cNvPr id="35" name="Seta para a esquerda 34"/>
        <xdr:cNvSpPr/>
      </xdr:nvSpPr>
      <xdr:spPr>
        <a:xfrm>
          <a:off x="7770283" y="729193"/>
          <a:ext cx="267391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 editAs="oneCell">
    <xdr:from>
      <xdr:col>13</xdr:col>
      <xdr:colOff>264584</xdr:colOff>
      <xdr:row>5</xdr:row>
      <xdr:rowOff>41179</xdr:rowOff>
    </xdr:from>
    <xdr:to>
      <xdr:col>14</xdr:col>
      <xdr:colOff>10582</xdr:colOff>
      <xdr:row>7</xdr:row>
      <xdr:rowOff>20011</xdr:rowOff>
    </xdr:to>
    <xdr:pic macro="[0]!Abrir_SLA_Vol"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9384" y="717454"/>
          <a:ext cx="355598" cy="359832"/>
        </a:xfrm>
        <a:prstGeom prst="rect">
          <a:avLst/>
        </a:prstGeom>
      </xdr:spPr>
    </xdr:pic>
    <xdr:clientData/>
  </xdr:twoCellAnchor>
  <xdr:twoCellAnchor>
    <xdr:from>
      <xdr:col>14</xdr:col>
      <xdr:colOff>201083</xdr:colOff>
      <xdr:row>5</xdr:row>
      <xdr:rowOff>42335</xdr:rowOff>
    </xdr:from>
    <xdr:to>
      <xdr:col>14</xdr:col>
      <xdr:colOff>472707</xdr:colOff>
      <xdr:row>7</xdr:row>
      <xdr:rowOff>21375</xdr:rowOff>
    </xdr:to>
    <xdr:sp macro="[0]!IrPara_Segmento" textlink="">
      <xdr:nvSpPr>
        <xdr:cNvPr id="37" name="Seta para a esquerda 36"/>
        <xdr:cNvSpPr/>
      </xdr:nvSpPr>
      <xdr:spPr>
        <a:xfrm flipH="1">
          <a:off x="8735483" y="718610"/>
          <a:ext cx="271624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12</xdr:col>
      <xdr:colOff>243417</xdr:colOff>
      <xdr:row>1</xdr:row>
      <xdr:rowOff>1156</xdr:rowOff>
    </xdr:from>
    <xdr:to>
      <xdr:col>14</xdr:col>
      <xdr:colOff>430039</xdr:colOff>
      <xdr:row>4</xdr:row>
      <xdr:rowOff>8954</xdr:rowOff>
    </xdr:to>
    <xdr:sp macro="" textlink="">
      <xdr:nvSpPr>
        <xdr:cNvPr id="38" name="Retângulo de cantos arredondados 37"/>
        <xdr:cNvSpPr/>
      </xdr:nvSpPr>
      <xdr:spPr>
        <a:xfrm>
          <a:off x="7558617" y="191656"/>
          <a:ext cx="1405822" cy="303073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Navegação</a:t>
          </a:r>
        </a:p>
      </xdr:txBody>
    </xdr:sp>
    <xdr:clientData/>
  </xdr:twoCellAnchor>
  <xdr:twoCellAnchor editAs="oneCell">
    <xdr:from>
      <xdr:col>12</xdr:col>
      <xdr:colOff>521951</xdr:colOff>
      <xdr:row>1</xdr:row>
      <xdr:rowOff>0</xdr:rowOff>
    </xdr:from>
    <xdr:to>
      <xdr:col>13</xdr:col>
      <xdr:colOff>204452</xdr:colOff>
      <xdr:row>4</xdr:row>
      <xdr:rowOff>1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151" y="190500"/>
          <a:ext cx="292101" cy="295276"/>
        </a:xfrm>
        <a:prstGeom prst="rect">
          <a:avLst/>
        </a:prstGeom>
      </xdr:spPr>
    </xdr:pic>
    <xdr:clientData/>
  </xdr:twoCellAnchor>
  <xdr:twoCellAnchor editAs="oneCell">
    <xdr:from>
      <xdr:col>13</xdr:col>
      <xdr:colOff>266701</xdr:colOff>
      <xdr:row>7</xdr:row>
      <xdr:rowOff>10584</xdr:rowOff>
    </xdr:from>
    <xdr:to>
      <xdr:col>14</xdr:col>
      <xdr:colOff>960</xdr:colOff>
      <xdr:row>8</xdr:row>
      <xdr:rowOff>168177</xdr:rowOff>
    </xdr:to>
    <xdr:pic macro="[0]!Macro4"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6534" y="1068917"/>
          <a:ext cx="348093" cy="34809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137584</xdr:colOff>
      <xdr:row>9</xdr:row>
      <xdr:rowOff>31750</xdr:rowOff>
    </xdr:from>
    <xdr:to>
      <xdr:col>15</xdr:col>
      <xdr:colOff>232834</xdr:colOff>
      <xdr:row>33</xdr:row>
      <xdr:rowOff>44974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558269</xdr:colOff>
      <xdr:row>12</xdr:row>
      <xdr:rowOff>93574</xdr:rowOff>
    </xdr:from>
    <xdr:to>
      <xdr:col>17</xdr:col>
      <xdr:colOff>579438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Esteira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eira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2104407"/>
              <a:ext cx="1248836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412750</xdr:colOff>
      <xdr:row>12</xdr:row>
      <xdr:rowOff>93574</xdr:rowOff>
    </xdr:from>
    <xdr:to>
      <xdr:col>22</xdr:col>
      <xdr:colOff>185436</xdr:colOff>
      <xdr:row>17</xdr:row>
      <xdr:rowOff>179298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gmento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89417" y="2104407"/>
              <a:ext cx="1000352" cy="1038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33185</xdr:colOff>
      <xdr:row>12</xdr:row>
      <xdr:rowOff>93574</xdr:rowOff>
    </xdr:from>
    <xdr:to>
      <xdr:col>20</xdr:col>
      <xdr:colOff>338667</xdr:colOff>
      <xdr:row>23</xdr:row>
      <xdr:rowOff>89651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po de Garantia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Garantia 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2185" y="2104407"/>
              <a:ext cx="1533149" cy="20915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4</xdr:row>
      <xdr:rowOff>141695</xdr:rowOff>
    </xdr:from>
    <xdr:to>
      <xdr:col>22</xdr:col>
      <xdr:colOff>185436</xdr:colOff>
      <xdr:row>11</xdr:row>
      <xdr:rowOff>179795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de Abertura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e Abertur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628528"/>
              <a:ext cx="3924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2013 ou versões superiores. Não mova ou redimensione.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558269</xdr:colOff>
      <xdr:row>23</xdr:row>
      <xdr:rowOff>189446</xdr:rowOff>
    </xdr:from>
    <xdr:to>
      <xdr:col>22</xdr:col>
      <xdr:colOff>185436</xdr:colOff>
      <xdr:row>34</xdr:row>
      <xdr:rowOff>21170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luxo 1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uxo 1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65769" y="4295779"/>
              <a:ext cx="3924000" cy="1927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370430</xdr:colOff>
      <xdr:row>0</xdr:row>
      <xdr:rowOff>95247</xdr:rowOff>
    </xdr:from>
    <xdr:to>
      <xdr:col>9</xdr:col>
      <xdr:colOff>402167</xdr:colOff>
      <xdr:row>5</xdr:row>
      <xdr:rowOff>10580</xdr:rowOff>
    </xdr:to>
    <xdr:sp macro="" textlink="">
      <xdr:nvSpPr>
        <xdr:cNvPr id="17" name="Retângulo de cantos arredondados 16"/>
        <xdr:cNvSpPr/>
      </xdr:nvSpPr>
      <xdr:spPr>
        <a:xfrm>
          <a:off x="984263" y="95247"/>
          <a:ext cx="4942404" cy="592666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2000" b="1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Volumetria &amp; SLA</a:t>
          </a:r>
        </a:p>
      </xdr:txBody>
    </xdr:sp>
    <xdr:clientData/>
  </xdr:twoCellAnchor>
  <xdr:twoCellAnchor editAs="oneCell">
    <xdr:from>
      <xdr:col>0</xdr:col>
      <xdr:colOff>1</xdr:colOff>
      <xdr:row>0</xdr:row>
      <xdr:rowOff>93310</xdr:rowOff>
    </xdr:from>
    <xdr:to>
      <xdr:col>1</xdr:col>
      <xdr:colOff>376101</xdr:colOff>
      <xdr:row>6</xdr:row>
      <xdr:rowOff>68244</xdr:rowOff>
    </xdr:to>
    <xdr:pic>
      <xdr:nvPicPr>
        <xdr:cNvPr id="18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531"/>
        <a:stretch/>
      </xdr:blipFill>
      <xdr:spPr bwMode="auto">
        <a:xfrm flipH="1">
          <a:off x="1" y="93310"/>
          <a:ext cx="985700" cy="84170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54356</xdr:colOff>
      <xdr:row>0</xdr:row>
      <xdr:rowOff>74082</xdr:rowOff>
    </xdr:from>
    <xdr:to>
      <xdr:col>1</xdr:col>
      <xdr:colOff>321745</xdr:colOff>
      <xdr:row>6</xdr:row>
      <xdr:rowOff>87471</xdr:rowOff>
    </xdr:to>
    <xdr:pic>
      <xdr:nvPicPr>
        <xdr:cNvPr id="19" name="Picture 3" descr="C:\Documents and Settings\igorfur\Desktop\ itau_masterbrand_volumetric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4356" y="74082"/>
          <a:ext cx="876989" cy="880164"/>
        </a:xfrm>
        <a:prstGeom prst="rect">
          <a:avLst/>
        </a:prstGeom>
        <a:noFill/>
      </xdr:spPr>
    </xdr:pic>
    <xdr:clientData/>
  </xdr:twoCellAnchor>
  <xdr:twoCellAnchor>
    <xdr:from>
      <xdr:col>15</xdr:col>
      <xdr:colOff>523005</xdr:colOff>
      <xdr:row>1</xdr:row>
      <xdr:rowOff>130571</xdr:rowOff>
    </xdr:from>
    <xdr:to>
      <xdr:col>21</xdr:col>
      <xdr:colOff>215734</xdr:colOff>
      <xdr:row>4</xdr:row>
      <xdr:rowOff>110721</xdr:rowOff>
    </xdr:to>
    <xdr:sp macro="" textlink="">
      <xdr:nvSpPr>
        <xdr:cNvPr id="20" name="Retângulo de cantos arredondados 19"/>
        <xdr:cNvSpPr/>
      </xdr:nvSpPr>
      <xdr:spPr>
        <a:xfrm>
          <a:off x="9667005" y="321071"/>
          <a:ext cx="3350329" cy="275425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200" b="0" i="1" u="sng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Dashboard de Filtros</a:t>
          </a:r>
          <a:r>
            <a:rPr lang="pt-BR" sz="1200" b="0" i="1" u="none">
              <a:solidFill>
                <a:schemeClr val="bg2">
                  <a:lumMod val="50000"/>
                </a:schemeClr>
              </a:solidFill>
              <a:latin typeface="Trebuchet MS" panose="020B0603020202020204" pitchFamily="34" charset="0"/>
            </a:rPr>
            <a:t> </a:t>
          </a:r>
          <a:r>
            <a:rPr lang="pt-BR" sz="1200" b="0" i="0" u="none">
              <a:solidFill>
                <a:schemeClr val="bg2">
                  <a:lumMod val="50000"/>
                </a:schemeClr>
              </a:solidFill>
              <a:latin typeface="Webdings" panose="05030102010509060703" pitchFamily="18" charset="2"/>
            </a:rPr>
            <a:t>6</a:t>
          </a:r>
        </a:p>
      </xdr:txBody>
    </xdr:sp>
    <xdr:clientData/>
  </xdr:twoCellAnchor>
  <xdr:twoCellAnchor>
    <xdr:from>
      <xdr:col>15</xdr:col>
      <xdr:colOff>448735</xdr:colOff>
      <xdr:row>2</xdr:row>
      <xdr:rowOff>35983</xdr:rowOff>
    </xdr:from>
    <xdr:to>
      <xdr:col>15</xdr:col>
      <xdr:colOff>448735</xdr:colOff>
      <xdr:row>36</xdr:row>
      <xdr:rowOff>141816</xdr:rowOff>
    </xdr:to>
    <xdr:cxnSp macro="">
      <xdr:nvCxnSpPr>
        <xdr:cNvPr id="23" name="Conector reto 22"/>
        <xdr:cNvCxnSpPr/>
      </xdr:nvCxnSpPr>
      <xdr:spPr>
        <a:xfrm>
          <a:off x="9592735" y="416983"/>
          <a:ext cx="0" cy="6306608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408357</xdr:colOff>
      <xdr:row>0</xdr:row>
      <xdr:rowOff>116416</xdr:rowOff>
    </xdr:from>
    <xdr:to>
      <xdr:col>15</xdr:col>
      <xdr:colOff>480642</xdr:colOff>
      <xdr:row>35</xdr:row>
      <xdr:rowOff>52917</xdr:rowOff>
    </xdr:to>
    <xdr:sp macro="" textlink="">
      <xdr:nvSpPr>
        <xdr:cNvPr id="24" name="Retângulo 23"/>
        <xdr:cNvSpPr/>
      </xdr:nvSpPr>
      <xdr:spPr>
        <a:xfrm>
          <a:off x="9552357" y="116416"/>
          <a:ext cx="72285" cy="6327776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428449</xdr:colOff>
      <xdr:row>0</xdr:row>
      <xdr:rowOff>112008</xdr:rowOff>
    </xdr:from>
    <xdr:to>
      <xdr:col>23</xdr:col>
      <xdr:colOff>307702</xdr:colOff>
      <xdr:row>0</xdr:row>
      <xdr:rowOff>142440</xdr:rowOff>
    </xdr:to>
    <xdr:sp macro="" textlink="">
      <xdr:nvSpPr>
        <xdr:cNvPr id="25" name="Retângulo 24"/>
        <xdr:cNvSpPr/>
      </xdr:nvSpPr>
      <xdr:spPr>
        <a:xfrm>
          <a:off x="9572449" y="112008"/>
          <a:ext cx="4756053" cy="30432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190501</xdr:colOff>
      <xdr:row>7</xdr:row>
      <xdr:rowOff>31750</xdr:rowOff>
    </xdr:from>
    <xdr:to>
      <xdr:col>0</xdr:col>
      <xdr:colOff>538594</xdr:colOff>
      <xdr:row>8</xdr:row>
      <xdr:rowOff>189343</xdr:rowOff>
    </xdr:to>
    <xdr:pic macro="[0]!Macro4"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089025"/>
          <a:ext cx="348093" cy="348093"/>
        </a:xfrm>
        <a:prstGeom prst="rect">
          <a:avLst/>
        </a:prstGeom>
      </xdr:spPr>
    </xdr:pic>
    <xdr:clientData/>
  </xdr:twoCellAnchor>
  <xdr:twoCellAnchor>
    <xdr:from>
      <xdr:col>12</xdr:col>
      <xdr:colOff>222250</xdr:colOff>
      <xdr:row>0</xdr:row>
      <xdr:rowOff>148167</xdr:rowOff>
    </xdr:from>
    <xdr:to>
      <xdr:col>14</xdr:col>
      <xdr:colOff>592667</xdr:colOff>
      <xdr:row>8</xdr:row>
      <xdr:rowOff>158752</xdr:rowOff>
    </xdr:to>
    <xdr:sp macro="" textlink="">
      <xdr:nvSpPr>
        <xdr:cNvPr id="34" name="Retângulo de cantos arredondados 33"/>
        <xdr:cNvSpPr/>
      </xdr:nvSpPr>
      <xdr:spPr>
        <a:xfrm>
          <a:off x="7537450" y="148167"/>
          <a:ext cx="1589617" cy="125836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455083</xdr:colOff>
      <xdr:row>5</xdr:row>
      <xdr:rowOff>52918</xdr:rowOff>
    </xdr:from>
    <xdr:to>
      <xdr:col>13</xdr:col>
      <xdr:colOff>112874</xdr:colOff>
      <xdr:row>7</xdr:row>
      <xdr:rowOff>31958</xdr:rowOff>
    </xdr:to>
    <xdr:sp macro="[0]!IrPara_Periodo" textlink="">
      <xdr:nvSpPr>
        <xdr:cNvPr id="35" name="Seta para a esquerda 34"/>
        <xdr:cNvSpPr/>
      </xdr:nvSpPr>
      <xdr:spPr>
        <a:xfrm>
          <a:off x="7770283" y="729193"/>
          <a:ext cx="267391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 editAs="oneCell">
    <xdr:from>
      <xdr:col>13</xdr:col>
      <xdr:colOff>264584</xdr:colOff>
      <xdr:row>5</xdr:row>
      <xdr:rowOff>41179</xdr:rowOff>
    </xdr:from>
    <xdr:to>
      <xdr:col>14</xdr:col>
      <xdr:colOff>10582</xdr:colOff>
      <xdr:row>7</xdr:row>
      <xdr:rowOff>20011</xdr:rowOff>
    </xdr:to>
    <xdr:pic macro="[0]!Abrir_SLA_Vol"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9384" y="717454"/>
          <a:ext cx="355598" cy="359832"/>
        </a:xfrm>
        <a:prstGeom prst="rect">
          <a:avLst/>
        </a:prstGeom>
      </xdr:spPr>
    </xdr:pic>
    <xdr:clientData/>
  </xdr:twoCellAnchor>
  <xdr:twoCellAnchor>
    <xdr:from>
      <xdr:col>14</xdr:col>
      <xdr:colOff>201083</xdr:colOff>
      <xdr:row>5</xdr:row>
      <xdr:rowOff>42335</xdr:rowOff>
    </xdr:from>
    <xdr:to>
      <xdr:col>14</xdr:col>
      <xdr:colOff>472707</xdr:colOff>
      <xdr:row>7</xdr:row>
      <xdr:rowOff>21375</xdr:rowOff>
    </xdr:to>
    <xdr:sp macro="[0]!IrPara_Esteira" textlink="">
      <xdr:nvSpPr>
        <xdr:cNvPr id="37" name="Seta para a esquerda 36"/>
        <xdr:cNvSpPr/>
      </xdr:nvSpPr>
      <xdr:spPr>
        <a:xfrm flipH="1">
          <a:off x="8735483" y="718610"/>
          <a:ext cx="271624" cy="360040"/>
        </a:xfrm>
        <a:prstGeom prst="leftArrow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12</xdr:col>
      <xdr:colOff>243417</xdr:colOff>
      <xdr:row>1</xdr:row>
      <xdr:rowOff>1156</xdr:rowOff>
    </xdr:from>
    <xdr:to>
      <xdr:col>14</xdr:col>
      <xdr:colOff>430039</xdr:colOff>
      <xdr:row>4</xdr:row>
      <xdr:rowOff>8954</xdr:rowOff>
    </xdr:to>
    <xdr:sp macro="" textlink="">
      <xdr:nvSpPr>
        <xdr:cNvPr id="38" name="Retângulo de cantos arredondados 37"/>
        <xdr:cNvSpPr/>
      </xdr:nvSpPr>
      <xdr:spPr>
        <a:xfrm>
          <a:off x="7558617" y="191656"/>
          <a:ext cx="1405822" cy="303073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  <a:latin typeface="Trebuchet MS" panose="020B0603020202020204" pitchFamily="34" charset="0"/>
            </a:rPr>
            <a:t>Navegação</a:t>
          </a:r>
        </a:p>
      </xdr:txBody>
    </xdr:sp>
    <xdr:clientData/>
  </xdr:twoCellAnchor>
  <xdr:twoCellAnchor editAs="oneCell">
    <xdr:from>
      <xdr:col>12</xdr:col>
      <xdr:colOff>521951</xdr:colOff>
      <xdr:row>1</xdr:row>
      <xdr:rowOff>0</xdr:rowOff>
    </xdr:from>
    <xdr:to>
      <xdr:col>13</xdr:col>
      <xdr:colOff>204452</xdr:colOff>
      <xdr:row>4</xdr:row>
      <xdr:rowOff>1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7151" y="190500"/>
          <a:ext cx="292101" cy="295276"/>
        </a:xfrm>
        <a:prstGeom prst="rect">
          <a:avLst/>
        </a:prstGeom>
      </xdr:spPr>
    </xdr:pic>
    <xdr:clientData/>
  </xdr:twoCellAnchor>
  <xdr:twoCellAnchor editAs="oneCell">
    <xdr:from>
      <xdr:col>13</xdr:col>
      <xdr:colOff>264583</xdr:colOff>
      <xdr:row>7</xdr:row>
      <xdr:rowOff>21166</xdr:rowOff>
    </xdr:from>
    <xdr:to>
      <xdr:col>13</xdr:col>
      <xdr:colOff>612676</xdr:colOff>
      <xdr:row>8</xdr:row>
      <xdr:rowOff>178759</xdr:rowOff>
    </xdr:to>
    <xdr:pic macro="[0]!Macro4"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4416" y="1079499"/>
          <a:ext cx="348093" cy="34809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sagio" refreshedDate="43010.415627314818" createdVersion="5" refreshedVersion="5" minRefreshableVersion="3" recordCount="42">
  <cacheSource type="worksheet">
    <worksheetSource name="Tabela1"/>
  </cacheSource>
  <cacheFields count="29">
    <cacheField name="Qtd" numFmtId="0">
      <sharedItems containsSemiMixedTypes="0" containsString="0" containsNumber="1" containsInteger="1" minValue="1" maxValue="1"/>
    </cacheField>
    <cacheField name="ID Chamado" numFmtId="0">
      <sharedItems/>
    </cacheField>
    <cacheField name="ID Fluxo" numFmtId="0">
      <sharedItems containsSemiMixedTypes="0" containsString="0" containsNumber="1" containsInteger="1" minValue="1" maxValue="25"/>
    </cacheField>
    <cacheField name="Status" numFmtId="0">
      <sharedItems containsBlank="1"/>
    </cacheField>
    <cacheField name="ANALISTA" numFmtId="0">
      <sharedItems containsNonDate="0" containsString="0" containsBlank="1"/>
    </cacheField>
    <cacheField name="Coordenação" numFmtId="0">
      <sharedItems count="3">
        <s v="Coord 3"/>
        <s v="Coord 1"/>
        <s v="Coord 2"/>
      </sharedItems>
    </cacheField>
    <cacheField name="Esteira" numFmtId="0">
      <sharedItems count="6">
        <s v="Liberação"/>
        <s v="Conciliação"/>
        <s v="Atendimento"/>
        <s v="Composição"/>
        <s v="Inclusão"/>
        <s v="Relatórios"/>
      </sharedItems>
    </cacheField>
    <cacheField name="Fluxo" numFmtId="0">
      <sharedItems count="21">
        <s v="Destrava"/>
        <s v="Fechamento"/>
        <s v="Liberação Pontual de Recursos (Portal TEF)"/>
        <s v="Consultas"/>
        <s v="Composição Sem Liberação"/>
        <s v="Pagamentos e Despesas"/>
        <s v="Emissão de Termo de Liberação"/>
        <s v="Confirmação de Utilização de Conta"/>
        <s v="Liberação via Módulo"/>
        <s v="Liberação Pontual de Recursos"/>
        <s v="Liberação de Instrução"/>
        <s v="Reassociação de Veículos"/>
        <s v="Tratamento de GECOV"/>
        <s v="Relatório"/>
        <s v="Antecipação de Recebíveis"/>
        <s v="Inclusão de Operação"/>
        <s v="Desbloqueio"/>
        <s v="Trava (E-mail Padrão)"/>
        <s v="Trava (E-mail Fora do Padrão)"/>
        <s v="Dúvidas"/>
        <s v="Alteração de Controle" u="1"/>
      </sharedItems>
    </cacheField>
    <cacheField name="Segmento" numFmtId="0">
      <sharedItems count="2">
        <s v="MM"/>
        <s v="CLU"/>
      </sharedItems>
    </cacheField>
    <cacheField name="Tipo de Garantia" numFmtId="0">
      <sharedItems count="5">
        <s v="Duplicatas"/>
        <s v="Cartões"/>
        <s v="DC"/>
        <s v="Aplicações"/>
        <s v="Imóveis"/>
      </sharedItems>
    </cacheField>
    <cacheField name="Data de Abertura" numFmtId="16">
      <sharedItems containsSemiMixedTypes="0" containsNonDate="0" containsDate="1" containsString="0" minDate="1899-12-30T00:02:04" maxDate="1900-09-04T00:02:04" count="37">
        <d v="1900-01-25T00:02:04"/>
        <d v="1900-04-03T00:02:04"/>
        <d v="1900-06-11T00:02:04"/>
        <d v="1900-02-09T00:02:04"/>
        <d v="1900-04-11T00:02:04"/>
        <d v="1900-05-20T00:02:04"/>
        <d v="1900-08-04T00:02:04"/>
        <d v="1900-08-23T00:02:04"/>
        <d v="1900-08-13T00:02:04"/>
        <d v="1900-08-29T00:02:04"/>
        <d v="1900-06-30T00:02:04"/>
        <d v="1899-12-30T00:02:04"/>
        <d v="1900-01-16T00:02:04"/>
        <d v="1900-02-14T00:02:04"/>
        <d v="1900-06-03T00:02:04"/>
        <d v="1900-01-30T00:02:04"/>
        <d v="1900-03-27T00:02:04"/>
        <d v="1900-07-31T00:02:04"/>
        <d v="1900-08-21T00:02:04"/>
        <d v="1900-06-27T00:02:04"/>
        <d v="1900-03-11T00:02:04"/>
        <d v="1900-02-07T00:02:04"/>
        <d v="1900-07-25T00:02:04"/>
        <d v="1900-05-10T00:02:04"/>
        <d v="1900-03-15T00:02:04"/>
        <d v="1900-07-01T00:02:04"/>
        <d v="1900-03-09T00:02:04"/>
        <d v="1900-02-01T00:02:04"/>
        <d v="1900-05-28T00:02:04"/>
        <d v="1900-07-11T00:02:04"/>
        <d v="1900-08-10T00:02:04"/>
        <d v="1900-06-25T00:02:04"/>
        <d v="1900-01-24T00:02:04"/>
        <d v="1900-07-20T00:02:04"/>
        <d v="1900-04-02T00:02:04"/>
        <d v="1900-01-31T00:02:04"/>
        <d v="1900-09-04T00:02:04"/>
      </sharedItems>
      <fieldGroup base="10">
        <rangePr groupBy="months" startDate="1899-12-30T00:02:04" endDate="1900-09-04T00:02:04"/>
        <groupItems count="14">
          <s v="&lt;00/01/190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9/1900"/>
        </groupItems>
      </fieldGroup>
    </cacheField>
    <cacheField name="Tempo Total de Atuação" numFmtId="0">
      <sharedItems containsString="0" containsBlank="1" containsNumber="1" containsInteger="1" minValue="23" maxValue="23"/>
    </cacheField>
    <cacheField name="Horário de Conclusão" numFmtId="0">
      <sharedItems containsNonDate="0" containsDate="1" containsString="0" containsBlank="1" minDate="1899-12-30T12:50:00" maxDate="1899-12-30T12:50:00"/>
    </cacheField>
    <cacheField name="Prazo SLA" numFmtId="0">
      <sharedItems containsNonDate="0" containsDate="1" containsString="0" containsBlank="1" minDate="1899-12-30T12:45:00" maxDate="1899-12-30T12:45:00"/>
    </cacheField>
    <cacheField name="Meta" numFmtId="0">
      <sharedItems/>
    </cacheField>
    <cacheField name="Atraso" numFmtId="0">
      <sharedItems/>
    </cacheField>
    <cacheField name="Atraso %" numFmtId="0">
      <sharedItems containsSemiMixedTypes="0" containsString="0" containsNumber="1" containsInteger="1" minValue="0" maxValue="1"/>
    </cacheField>
    <cacheField name="Mês" numFmtId="0">
      <sharedItems containsSemiMixedTypes="0" containsString="0" containsNumber="1" containsInteger="1" minValue="1" maxValue="9"/>
    </cacheField>
    <cacheField name="Quantidade" numFmtId="0">
      <sharedItems containsNonDate="0" containsString="0" containsBlank="1"/>
    </cacheField>
    <cacheField name="Valor Liberado" numFmtId="0">
      <sharedItems containsString="0" containsBlank="1" containsNumber="1" containsInteger="1" minValue="398091" maxValue="976329"/>
    </cacheField>
    <cacheField name="TEG" numFmtId="0">
      <sharedItems containsBlank="1"/>
    </cacheField>
    <cacheField name="Particularidades" numFmtId="0">
      <sharedItems containsBlank="1"/>
    </cacheField>
    <cacheField name="Origem da Solicitação" numFmtId="0">
      <sharedItems containsBlank="1"/>
    </cacheField>
    <cacheField name="Tipo de Consulta" numFmtId="0">
      <sharedItems containsBlank="1"/>
    </cacheField>
    <cacheField name="Campo Específico 6" numFmtId="0">
      <sharedItems containsNonDate="0" containsString="0" containsBlank="1"/>
    </cacheField>
    <cacheField name="Campo Específico 7" numFmtId="0">
      <sharedItems containsNonDate="0" containsString="0" containsBlank="1"/>
    </cacheField>
    <cacheField name="Campo Específico 8" numFmtId="0">
      <sharedItems containsNonDate="0" containsString="0" containsBlank="1"/>
    </cacheField>
    <cacheField name="Campo Específico 9" numFmtId="0">
      <sharedItems containsNonDate="0" containsString="0" containsBlank="1"/>
    </cacheField>
    <cacheField name="Campo Específico 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Visagio" refreshedDate="43010.41563275463" createdVersion="5" refreshedVersion="5" minRefreshableVersion="3" recordCount="42">
  <cacheSource type="worksheet">
    <worksheetSource name="Tabela1"/>
  </cacheSource>
  <cacheFields count="29">
    <cacheField name="Qtd" numFmtId="0">
      <sharedItems containsSemiMixedTypes="0" containsString="0" containsNumber="1" containsInteger="1" minValue="1" maxValue="1"/>
    </cacheField>
    <cacheField name="ID Chamado" numFmtId="0">
      <sharedItems/>
    </cacheField>
    <cacheField name="ID Fluxo" numFmtId="0">
      <sharedItems containsSemiMixedTypes="0" containsString="0" containsNumber="1" containsInteger="1" minValue="1" maxValue="25"/>
    </cacheField>
    <cacheField name="Status" numFmtId="0">
      <sharedItems containsBlank="1"/>
    </cacheField>
    <cacheField name="ANALISTA" numFmtId="0">
      <sharedItems containsNonDate="0" containsString="0" containsBlank="1"/>
    </cacheField>
    <cacheField name="Coordenação" numFmtId="0">
      <sharedItems/>
    </cacheField>
    <cacheField name="Esteira" numFmtId="0">
      <sharedItems count="6">
        <s v="Liberação"/>
        <s v="Conciliação"/>
        <s v="Atendimento"/>
        <s v="Composição"/>
        <s v="Inclusão"/>
        <s v="Relatórios"/>
      </sharedItems>
    </cacheField>
    <cacheField name="Fluxo" numFmtId="0">
      <sharedItems count="21">
        <s v="Destrava"/>
        <s v="Fechamento"/>
        <s v="Liberação Pontual de Recursos (Portal TEF)"/>
        <s v="Consultas"/>
        <s v="Composição Sem Liberação"/>
        <s v="Pagamentos e Despesas"/>
        <s v="Emissão de Termo de Liberação"/>
        <s v="Confirmação de Utilização de Conta"/>
        <s v="Liberação via Módulo"/>
        <s v="Liberação Pontual de Recursos"/>
        <s v="Liberação de Instrução"/>
        <s v="Reassociação de Veículos"/>
        <s v="Tratamento de GECOV"/>
        <s v="Relatório"/>
        <s v="Antecipação de Recebíveis"/>
        <s v="Inclusão de Operação"/>
        <s v="Desbloqueio"/>
        <s v="Trava (E-mail Padrão)"/>
        <s v="Trava (E-mail Fora do Padrão)"/>
        <s v="Dúvidas"/>
        <s v="Alteração de Controle" u="1"/>
      </sharedItems>
    </cacheField>
    <cacheField name="Segmento" numFmtId="0">
      <sharedItems count="2">
        <s v="MM"/>
        <s v="CLU"/>
      </sharedItems>
    </cacheField>
    <cacheField name="Tipo de Garantia" numFmtId="0">
      <sharedItems count="5">
        <s v="Duplicatas"/>
        <s v="Cartões"/>
        <s v="DC"/>
        <s v="Aplicações"/>
        <s v="Imóveis"/>
      </sharedItems>
    </cacheField>
    <cacheField name="Data de Abertura" numFmtId="16">
      <sharedItems containsSemiMixedTypes="0" containsNonDate="0" containsDate="1" containsString="0" minDate="1899-12-30T00:02:04" maxDate="1900-09-04T00:02:04" count="37">
        <d v="1900-01-25T00:02:04"/>
        <d v="1900-04-03T00:02:04"/>
        <d v="1900-06-11T00:02:04"/>
        <d v="1900-02-09T00:02:04"/>
        <d v="1900-04-11T00:02:04"/>
        <d v="1900-05-20T00:02:04"/>
        <d v="1900-08-04T00:02:04"/>
        <d v="1900-08-23T00:02:04"/>
        <d v="1900-08-13T00:02:04"/>
        <d v="1900-08-29T00:02:04"/>
        <d v="1900-06-30T00:02:04"/>
        <d v="1899-12-30T00:02:04"/>
        <d v="1900-01-16T00:02:04"/>
        <d v="1900-02-14T00:02:04"/>
        <d v="1900-06-03T00:02:04"/>
        <d v="1900-01-30T00:02:04"/>
        <d v="1900-03-27T00:02:04"/>
        <d v="1900-07-31T00:02:04"/>
        <d v="1900-08-21T00:02:04"/>
        <d v="1900-06-27T00:02:04"/>
        <d v="1900-03-11T00:02:04"/>
        <d v="1900-02-07T00:02:04"/>
        <d v="1900-07-25T00:02:04"/>
        <d v="1900-05-10T00:02:04"/>
        <d v="1900-03-15T00:02:04"/>
        <d v="1900-07-01T00:02:04"/>
        <d v="1900-03-09T00:02:04"/>
        <d v="1900-02-01T00:02:04"/>
        <d v="1900-05-28T00:02:04"/>
        <d v="1900-07-11T00:02:04"/>
        <d v="1900-08-10T00:02:04"/>
        <d v="1900-06-25T00:02:04"/>
        <d v="1900-01-24T00:02:04"/>
        <d v="1900-07-20T00:02:04"/>
        <d v="1900-04-02T00:02:04"/>
        <d v="1900-01-31T00:02:04"/>
        <d v="1900-09-04T00:02:04"/>
      </sharedItems>
      <fieldGroup base="10">
        <rangePr groupBy="months" startDate="1899-12-30T00:02:04" endDate="1900-09-04T00:02:04"/>
        <groupItems count="14">
          <s v="&lt;00/01/190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9/1900"/>
        </groupItems>
      </fieldGroup>
    </cacheField>
    <cacheField name="Tempo Total de Atuação" numFmtId="0">
      <sharedItems containsString="0" containsBlank="1" containsNumber="1" containsInteger="1" minValue="23" maxValue="23"/>
    </cacheField>
    <cacheField name="Horário de Conclusão" numFmtId="0">
      <sharedItems containsNonDate="0" containsDate="1" containsString="0" containsBlank="1" minDate="1899-12-30T12:50:00" maxDate="1899-12-30T12:50:00"/>
    </cacheField>
    <cacheField name="Prazo SLA" numFmtId="0">
      <sharedItems containsNonDate="0" containsDate="1" containsString="0" containsBlank="1" minDate="1899-12-30T12:45:00" maxDate="1899-12-30T12:45:00"/>
    </cacheField>
    <cacheField name="Meta" numFmtId="0">
      <sharedItems/>
    </cacheField>
    <cacheField name="Atraso" numFmtId="0">
      <sharedItems count="2">
        <s v="No Prazo"/>
        <s v="Fora do Prazo"/>
      </sharedItems>
    </cacheField>
    <cacheField name="Atraso %" numFmtId="0">
      <sharedItems containsSemiMixedTypes="0" containsString="0" containsNumber="1" containsInteger="1" minValue="0" maxValue="1"/>
    </cacheField>
    <cacheField name="Mês" numFmtId="0">
      <sharedItems containsSemiMixedTypes="0" containsString="0" containsNumber="1" containsInteger="1" minValue="1" maxValue="9"/>
    </cacheField>
    <cacheField name="Quantidade" numFmtId="0">
      <sharedItems containsNonDate="0" containsString="0" containsBlank="1"/>
    </cacheField>
    <cacheField name="Valor Liberado" numFmtId="0">
      <sharedItems containsString="0" containsBlank="1" containsNumber="1" containsInteger="1" minValue="398091" maxValue="976329"/>
    </cacheField>
    <cacheField name="TEG" numFmtId="0">
      <sharedItems containsBlank="1" count="3">
        <m/>
        <s v="Z"/>
        <s v="W"/>
      </sharedItems>
    </cacheField>
    <cacheField name="Particularidades" numFmtId="0">
      <sharedItems containsBlank="1" count="3">
        <m/>
        <s v="Exigido Percentual"/>
        <s v="Geral"/>
      </sharedItems>
    </cacheField>
    <cacheField name="Origem da Solicitação" numFmtId="0">
      <sharedItems containsBlank="1" count="4">
        <m/>
        <s v="Backoffice Produtos"/>
        <s v="Comercial MM"/>
        <s v="Middle Office"/>
      </sharedItems>
    </cacheField>
    <cacheField name="Tipo de Consulta" numFmtId="0">
      <sharedItems containsBlank="1" count="3">
        <m/>
        <s v="Envio de Posição"/>
        <s v="Convênio"/>
      </sharedItems>
    </cacheField>
    <cacheField name="Campo Específico 6" numFmtId="0">
      <sharedItems containsNonDate="0" containsString="0" containsBlank="1"/>
    </cacheField>
    <cacheField name="Campo Específico 7" numFmtId="0">
      <sharedItems containsNonDate="0" containsString="0" containsBlank="1"/>
    </cacheField>
    <cacheField name="Campo Específico 8" numFmtId="0">
      <sharedItems containsNonDate="0" containsString="0" containsBlank="1"/>
    </cacheField>
    <cacheField name="Campo Específico 9" numFmtId="0">
      <sharedItems containsNonDate="0" containsString="0" containsBlank="1"/>
    </cacheField>
    <cacheField name="Campo Específico 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n v="1"/>
    <s v="Chamado1"/>
    <n v="14"/>
    <s v="Concluído"/>
    <m/>
    <x v="0"/>
    <x v="0"/>
    <x v="0"/>
    <x v="0"/>
    <x v="0"/>
    <x v="0"/>
    <n v="23"/>
    <d v="1899-12-30T12:50:00"/>
    <d v="1899-12-30T12:45:00"/>
    <s v="Atingida"/>
    <s v="No Prazo"/>
    <n v="1"/>
    <n v="1"/>
    <m/>
    <m/>
    <m/>
    <m/>
    <m/>
    <m/>
    <m/>
    <m/>
    <m/>
    <m/>
    <m/>
  </r>
  <r>
    <n v="1"/>
    <s v="Chamado2"/>
    <n v="19"/>
    <s v="Concluído"/>
    <m/>
    <x v="1"/>
    <x v="1"/>
    <x v="1"/>
    <x v="1"/>
    <x v="1"/>
    <x v="1"/>
    <m/>
    <m/>
    <m/>
    <s v="Atingida"/>
    <s v="No Prazo"/>
    <n v="1"/>
    <n v="4"/>
    <m/>
    <m/>
    <m/>
    <m/>
    <m/>
    <m/>
    <m/>
    <m/>
    <m/>
    <m/>
    <m/>
  </r>
  <r>
    <n v="1"/>
    <s v="Chamado3"/>
    <n v="10"/>
    <s v="Concluído"/>
    <m/>
    <x v="0"/>
    <x v="0"/>
    <x v="2"/>
    <x v="1"/>
    <x v="2"/>
    <x v="2"/>
    <m/>
    <m/>
    <m/>
    <s v="Não Atingida"/>
    <s v="No Prazo"/>
    <n v="1"/>
    <n v="6"/>
    <m/>
    <n v="976329"/>
    <m/>
    <m/>
    <m/>
    <m/>
    <m/>
    <m/>
    <m/>
    <m/>
    <m/>
  </r>
  <r>
    <n v="1"/>
    <s v="Chamado4"/>
    <n v="21"/>
    <s v="Concluído"/>
    <m/>
    <x v="0"/>
    <x v="2"/>
    <x v="3"/>
    <x v="0"/>
    <x v="3"/>
    <x v="3"/>
    <m/>
    <m/>
    <m/>
    <s v="Atingida"/>
    <s v="No Prazo"/>
    <n v="1"/>
    <n v="2"/>
    <m/>
    <m/>
    <m/>
    <m/>
    <s v="Backoffice Produtos"/>
    <s v="Envio de Posição"/>
    <m/>
    <m/>
    <m/>
    <m/>
    <m/>
  </r>
  <r>
    <n v="1"/>
    <s v="Chamado5"/>
    <n v="19"/>
    <s v="Cancelado"/>
    <m/>
    <x v="1"/>
    <x v="1"/>
    <x v="1"/>
    <x v="1"/>
    <x v="4"/>
    <x v="4"/>
    <m/>
    <m/>
    <m/>
    <s v="Atingida"/>
    <s v="No Prazo"/>
    <n v="1"/>
    <n v="4"/>
    <m/>
    <m/>
    <m/>
    <m/>
    <m/>
    <m/>
    <m/>
    <m/>
    <m/>
    <m/>
    <m/>
  </r>
  <r>
    <n v="1"/>
    <s v="Chamado6"/>
    <n v="8"/>
    <s v="Concluído"/>
    <m/>
    <x v="2"/>
    <x v="3"/>
    <x v="4"/>
    <x v="1"/>
    <x v="4"/>
    <x v="5"/>
    <m/>
    <m/>
    <m/>
    <s v="Atingida"/>
    <s v="No Prazo"/>
    <n v="1"/>
    <n v="5"/>
    <m/>
    <m/>
    <m/>
    <m/>
    <m/>
    <m/>
    <m/>
    <m/>
    <m/>
    <m/>
    <m/>
  </r>
  <r>
    <n v="1"/>
    <s v="Chamado7"/>
    <n v="17"/>
    <s v="Concluído"/>
    <m/>
    <x v="0"/>
    <x v="0"/>
    <x v="5"/>
    <x v="0"/>
    <x v="1"/>
    <x v="6"/>
    <m/>
    <m/>
    <m/>
    <s v="Atingida"/>
    <s v="No Prazo"/>
    <n v="1"/>
    <n v="8"/>
    <m/>
    <m/>
    <m/>
    <m/>
    <m/>
    <m/>
    <m/>
    <m/>
    <m/>
    <m/>
    <m/>
  </r>
  <r>
    <n v="1"/>
    <s v="Chamado8"/>
    <n v="12"/>
    <s v="Concluído"/>
    <m/>
    <x v="0"/>
    <x v="0"/>
    <x v="6"/>
    <x v="1"/>
    <x v="2"/>
    <x v="7"/>
    <m/>
    <m/>
    <m/>
    <s v="Não Atingida"/>
    <s v="Fora do Prazo"/>
    <n v="0"/>
    <n v="8"/>
    <m/>
    <m/>
    <m/>
    <m/>
    <m/>
    <m/>
    <m/>
    <m/>
    <m/>
    <m/>
    <m/>
  </r>
  <r>
    <n v="1"/>
    <s v="Chamado44"/>
    <n v="21"/>
    <s v="Concluído"/>
    <m/>
    <x v="0"/>
    <x v="2"/>
    <x v="3"/>
    <x v="0"/>
    <x v="2"/>
    <x v="3"/>
    <m/>
    <m/>
    <m/>
    <s v="Atingida"/>
    <s v="No Prazo"/>
    <n v="1"/>
    <n v="2"/>
    <m/>
    <m/>
    <m/>
    <m/>
    <s v="Backoffice Produtos"/>
    <s v="Convênio"/>
    <m/>
    <m/>
    <m/>
    <m/>
    <m/>
  </r>
  <r>
    <n v="1"/>
    <s v="Chamado42"/>
    <n v="21"/>
    <s v="Concluído"/>
    <m/>
    <x v="0"/>
    <x v="2"/>
    <x v="3"/>
    <x v="0"/>
    <x v="3"/>
    <x v="3"/>
    <m/>
    <m/>
    <m/>
    <s v="Atingida"/>
    <s v="No Prazo"/>
    <n v="1"/>
    <n v="2"/>
    <m/>
    <m/>
    <m/>
    <m/>
    <s v="Backoffice Produtos"/>
    <s v="Convênio"/>
    <m/>
    <m/>
    <m/>
    <m/>
    <m/>
  </r>
  <r>
    <n v="1"/>
    <s v="Chamado9"/>
    <n v="23"/>
    <s v="Concluído"/>
    <m/>
    <x v="0"/>
    <x v="2"/>
    <x v="7"/>
    <x v="1"/>
    <x v="3"/>
    <x v="8"/>
    <m/>
    <m/>
    <m/>
    <s v="Atingida"/>
    <s v="No Prazo"/>
    <n v="1"/>
    <n v="8"/>
    <m/>
    <m/>
    <m/>
    <m/>
    <s v="Comercial MM"/>
    <m/>
    <m/>
    <m/>
    <m/>
    <m/>
    <m/>
  </r>
  <r>
    <n v="1"/>
    <s v="Chamado10"/>
    <n v="9"/>
    <s v="Concluído"/>
    <m/>
    <x v="0"/>
    <x v="0"/>
    <x v="8"/>
    <x v="1"/>
    <x v="3"/>
    <x v="9"/>
    <m/>
    <m/>
    <m/>
    <s v="Atingida"/>
    <s v="No Prazo"/>
    <n v="1"/>
    <n v="8"/>
    <m/>
    <n v="398091"/>
    <m/>
    <m/>
    <m/>
    <m/>
    <m/>
    <m/>
    <m/>
    <m/>
    <m/>
  </r>
  <r>
    <n v="1"/>
    <s v="Chamado11"/>
    <n v="11"/>
    <m/>
    <m/>
    <x v="0"/>
    <x v="0"/>
    <x v="9"/>
    <x v="0"/>
    <x v="3"/>
    <x v="10"/>
    <m/>
    <m/>
    <m/>
    <s v="Não Atingida"/>
    <s v="No Prazo"/>
    <n v="1"/>
    <n v="6"/>
    <m/>
    <n v="613253"/>
    <m/>
    <m/>
    <m/>
    <m/>
    <m/>
    <m/>
    <m/>
    <m/>
    <m/>
  </r>
  <r>
    <n v="1"/>
    <s v="Chamado12"/>
    <n v="15"/>
    <m/>
    <m/>
    <x v="0"/>
    <x v="0"/>
    <x v="10"/>
    <x v="1"/>
    <x v="2"/>
    <x v="11"/>
    <m/>
    <m/>
    <m/>
    <s v="Atingida"/>
    <s v="No Prazo"/>
    <n v="1"/>
    <n v="1"/>
    <m/>
    <m/>
    <m/>
    <m/>
    <m/>
    <m/>
    <m/>
    <m/>
    <m/>
    <m/>
    <m/>
  </r>
  <r>
    <n v="1"/>
    <s v="Chamado13"/>
    <n v="6"/>
    <m/>
    <m/>
    <x v="1"/>
    <x v="4"/>
    <x v="11"/>
    <x v="0"/>
    <x v="0"/>
    <x v="12"/>
    <m/>
    <m/>
    <m/>
    <s v="Não Atingida"/>
    <s v="Fora do Prazo"/>
    <n v="0"/>
    <n v="1"/>
    <m/>
    <m/>
    <m/>
    <m/>
    <m/>
    <m/>
    <m/>
    <m/>
    <m/>
    <m/>
    <m/>
  </r>
  <r>
    <n v="1"/>
    <s v="Chamado14"/>
    <n v="9"/>
    <m/>
    <m/>
    <x v="0"/>
    <x v="0"/>
    <x v="8"/>
    <x v="0"/>
    <x v="0"/>
    <x v="13"/>
    <m/>
    <m/>
    <m/>
    <s v="Não Atingida"/>
    <s v="No Prazo"/>
    <n v="1"/>
    <n v="2"/>
    <m/>
    <n v="446849"/>
    <m/>
    <m/>
    <m/>
    <m/>
    <m/>
    <m/>
    <m/>
    <m/>
    <m/>
  </r>
  <r>
    <n v="1"/>
    <s v="Chamado15"/>
    <n v="25"/>
    <m/>
    <m/>
    <x v="0"/>
    <x v="2"/>
    <x v="12"/>
    <x v="0"/>
    <x v="2"/>
    <x v="14"/>
    <m/>
    <m/>
    <m/>
    <s v="Não Atingida"/>
    <s v="Fora do Prazo"/>
    <n v="0"/>
    <n v="6"/>
    <m/>
    <m/>
    <m/>
    <m/>
    <s v="Middle Office"/>
    <m/>
    <m/>
    <m/>
    <m/>
    <m/>
    <m/>
  </r>
  <r>
    <n v="1"/>
    <s v="Chamado16"/>
    <n v="20"/>
    <m/>
    <m/>
    <x v="2"/>
    <x v="5"/>
    <x v="13"/>
    <x v="1"/>
    <x v="0"/>
    <x v="15"/>
    <m/>
    <m/>
    <m/>
    <s v="Atingida"/>
    <s v="No Prazo"/>
    <n v="1"/>
    <n v="1"/>
    <m/>
    <m/>
    <m/>
    <m/>
    <m/>
    <m/>
    <m/>
    <m/>
    <m/>
    <m/>
    <m/>
  </r>
  <r>
    <n v="1"/>
    <s v="Chamado17"/>
    <n v="6"/>
    <m/>
    <m/>
    <x v="1"/>
    <x v="4"/>
    <x v="11"/>
    <x v="0"/>
    <x v="1"/>
    <x v="16"/>
    <m/>
    <m/>
    <m/>
    <s v="Não Atingida"/>
    <s v="No Prazo"/>
    <n v="1"/>
    <n v="3"/>
    <m/>
    <m/>
    <m/>
    <m/>
    <m/>
    <m/>
    <m/>
    <m/>
    <m/>
    <m/>
    <m/>
  </r>
  <r>
    <n v="1"/>
    <s v="Chamado18"/>
    <n v="16"/>
    <m/>
    <m/>
    <x v="0"/>
    <x v="0"/>
    <x v="14"/>
    <x v="1"/>
    <x v="2"/>
    <x v="17"/>
    <m/>
    <m/>
    <m/>
    <s v="Atingida"/>
    <s v="No Prazo"/>
    <n v="1"/>
    <n v="7"/>
    <m/>
    <n v="634977"/>
    <m/>
    <m/>
    <m/>
    <m/>
    <m/>
    <m/>
    <m/>
    <m/>
    <m/>
  </r>
  <r>
    <n v="1"/>
    <s v="Chamado19"/>
    <n v="1"/>
    <m/>
    <m/>
    <x v="1"/>
    <x v="4"/>
    <x v="15"/>
    <x v="1"/>
    <x v="2"/>
    <x v="18"/>
    <m/>
    <m/>
    <m/>
    <s v="Não Atingida"/>
    <s v="No Prazo"/>
    <n v="1"/>
    <n v="8"/>
    <m/>
    <m/>
    <s v="Z"/>
    <s v="Exigido Percentual"/>
    <m/>
    <m/>
    <m/>
    <m/>
    <m/>
    <m/>
    <m/>
  </r>
  <r>
    <n v="1"/>
    <s v="Chamado20"/>
    <n v="19"/>
    <m/>
    <m/>
    <x v="1"/>
    <x v="1"/>
    <x v="1"/>
    <x v="0"/>
    <x v="0"/>
    <x v="19"/>
    <m/>
    <m/>
    <m/>
    <s v="Não Atingida"/>
    <s v="Fora do Prazo"/>
    <n v="0"/>
    <n v="6"/>
    <m/>
    <m/>
    <m/>
    <m/>
    <m/>
    <m/>
    <m/>
    <m/>
    <m/>
    <m/>
    <m/>
  </r>
  <r>
    <n v="1"/>
    <s v="Chamado21"/>
    <n v="10"/>
    <m/>
    <m/>
    <x v="0"/>
    <x v="0"/>
    <x v="2"/>
    <x v="1"/>
    <x v="0"/>
    <x v="20"/>
    <m/>
    <m/>
    <m/>
    <s v="Não Atingida"/>
    <s v="No Prazo"/>
    <n v="1"/>
    <n v="3"/>
    <m/>
    <n v="512083"/>
    <m/>
    <m/>
    <m/>
    <m/>
    <m/>
    <m/>
    <m/>
    <m/>
    <m/>
  </r>
  <r>
    <n v="1"/>
    <s v="Chamado22"/>
    <n v="13"/>
    <m/>
    <m/>
    <x v="0"/>
    <x v="0"/>
    <x v="16"/>
    <x v="1"/>
    <x v="0"/>
    <x v="21"/>
    <m/>
    <m/>
    <m/>
    <s v="Não Atingida"/>
    <s v="No Prazo"/>
    <n v="1"/>
    <n v="2"/>
    <m/>
    <m/>
    <m/>
    <m/>
    <m/>
    <m/>
    <m/>
    <m/>
    <m/>
    <m/>
    <m/>
  </r>
  <r>
    <n v="1"/>
    <s v="Chamado23"/>
    <n v="19"/>
    <m/>
    <m/>
    <x v="1"/>
    <x v="1"/>
    <x v="1"/>
    <x v="1"/>
    <x v="1"/>
    <x v="22"/>
    <m/>
    <m/>
    <m/>
    <s v="Não Atingida"/>
    <s v="No Prazo"/>
    <n v="1"/>
    <n v="7"/>
    <m/>
    <m/>
    <m/>
    <m/>
    <m/>
    <m/>
    <m/>
    <m/>
    <m/>
    <m/>
    <m/>
  </r>
  <r>
    <n v="1"/>
    <s v="Chamado24"/>
    <n v="9"/>
    <m/>
    <m/>
    <x v="0"/>
    <x v="0"/>
    <x v="8"/>
    <x v="1"/>
    <x v="2"/>
    <x v="23"/>
    <m/>
    <m/>
    <m/>
    <s v="Não Atingida"/>
    <s v="No Prazo"/>
    <n v="1"/>
    <n v="5"/>
    <m/>
    <n v="452131"/>
    <m/>
    <m/>
    <m/>
    <m/>
    <m/>
    <m/>
    <m/>
    <m/>
    <m/>
  </r>
  <r>
    <n v="1"/>
    <s v="Chamado25"/>
    <n v="25"/>
    <m/>
    <m/>
    <x v="0"/>
    <x v="2"/>
    <x v="12"/>
    <x v="1"/>
    <x v="2"/>
    <x v="24"/>
    <m/>
    <m/>
    <m/>
    <s v="Não Atingida"/>
    <s v="No Prazo"/>
    <n v="1"/>
    <n v="3"/>
    <m/>
    <m/>
    <m/>
    <m/>
    <s v="Comercial MM"/>
    <m/>
    <m/>
    <m/>
    <m/>
    <m/>
    <m/>
  </r>
  <r>
    <n v="1"/>
    <s v="Chamado26"/>
    <n v="13"/>
    <m/>
    <m/>
    <x v="0"/>
    <x v="0"/>
    <x v="16"/>
    <x v="1"/>
    <x v="2"/>
    <x v="25"/>
    <m/>
    <m/>
    <m/>
    <s v="Não Atingida"/>
    <s v="No Prazo"/>
    <n v="1"/>
    <n v="7"/>
    <m/>
    <m/>
    <m/>
    <m/>
    <m/>
    <m/>
    <m/>
    <m/>
    <m/>
    <m/>
    <m/>
  </r>
  <r>
    <n v="1"/>
    <s v="Chamado27"/>
    <n v="4"/>
    <m/>
    <m/>
    <x v="1"/>
    <x v="4"/>
    <x v="17"/>
    <x v="1"/>
    <x v="2"/>
    <x v="26"/>
    <m/>
    <m/>
    <m/>
    <s v="Não Atingida"/>
    <s v="No Prazo"/>
    <n v="1"/>
    <n v="3"/>
    <m/>
    <m/>
    <m/>
    <m/>
    <m/>
    <m/>
    <m/>
    <m/>
    <m/>
    <m/>
    <m/>
  </r>
  <r>
    <n v="1"/>
    <s v="Chamado28"/>
    <n v="12"/>
    <m/>
    <m/>
    <x v="0"/>
    <x v="0"/>
    <x v="6"/>
    <x v="1"/>
    <x v="2"/>
    <x v="27"/>
    <m/>
    <m/>
    <m/>
    <s v="Não Atingida"/>
    <s v="No Prazo"/>
    <n v="1"/>
    <n v="2"/>
    <m/>
    <m/>
    <m/>
    <m/>
    <m/>
    <m/>
    <m/>
    <m/>
    <m/>
    <m/>
    <m/>
  </r>
  <r>
    <n v="1"/>
    <s v="Chamado29"/>
    <n v="20"/>
    <m/>
    <m/>
    <x v="2"/>
    <x v="5"/>
    <x v="13"/>
    <x v="1"/>
    <x v="2"/>
    <x v="28"/>
    <m/>
    <m/>
    <m/>
    <s v="Não Atingida"/>
    <s v="No Prazo"/>
    <n v="1"/>
    <n v="5"/>
    <m/>
    <m/>
    <m/>
    <m/>
    <m/>
    <m/>
    <m/>
    <m/>
    <m/>
    <m/>
    <m/>
  </r>
  <r>
    <n v="1"/>
    <s v="Chamado30"/>
    <n v="16"/>
    <m/>
    <m/>
    <x v="0"/>
    <x v="0"/>
    <x v="14"/>
    <x v="1"/>
    <x v="2"/>
    <x v="29"/>
    <m/>
    <m/>
    <m/>
    <s v="Não Atingida"/>
    <s v="No Prazo"/>
    <n v="1"/>
    <n v="7"/>
    <m/>
    <n v="431275"/>
    <m/>
    <m/>
    <m/>
    <m/>
    <m/>
    <m/>
    <m/>
    <m/>
    <m/>
  </r>
  <r>
    <n v="1"/>
    <s v="Chamado31"/>
    <n v="15"/>
    <m/>
    <m/>
    <x v="0"/>
    <x v="0"/>
    <x v="10"/>
    <x v="0"/>
    <x v="0"/>
    <x v="30"/>
    <m/>
    <m/>
    <m/>
    <s v="Não Atingida"/>
    <s v="No Prazo"/>
    <n v="1"/>
    <n v="8"/>
    <m/>
    <m/>
    <m/>
    <m/>
    <m/>
    <m/>
    <m/>
    <m/>
    <m/>
    <m/>
    <m/>
  </r>
  <r>
    <n v="1"/>
    <s v="Chamado32"/>
    <n v="5"/>
    <m/>
    <m/>
    <x v="1"/>
    <x v="4"/>
    <x v="18"/>
    <x v="1"/>
    <x v="1"/>
    <x v="31"/>
    <m/>
    <m/>
    <m/>
    <s v="Não Atingida"/>
    <s v="No Prazo"/>
    <n v="1"/>
    <n v="6"/>
    <m/>
    <m/>
    <m/>
    <m/>
    <m/>
    <m/>
    <m/>
    <m/>
    <m/>
    <m/>
    <m/>
  </r>
  <r>
    <n v="1"/>
    <s v="Chamado33"/>
    <n v="6"/>
    <m/>
    <m/>
    <x v="1"/>
    <x v="4"/>
    <x v="11"/>
    <x v="1"/>
    <x v="0"/>
    <x v="3"/>
    <m/>
    <m/>
    <m/>
    <s v="Não Atingida"/>
    <s v="Fora do Prazo"/>
    <n v="0"/>
    <n v="2"/>
    <m/>
    <m/>
    <m/>
    <m/>
    <m/>
    <m/>
    <m/>
    <m/>
    <m/>
    <m/>
    <m/>
  </r>
  <r>
    <n v="1"/>
    <s v="Chamado34"/>
    <n v="22"/>
    <m/>
    <m/>
    <x v="0"/>
    <x v="2"/>
    <x v="19"/>
    <x v="0"/>
    <x v="1"/>
    <x v="32"/>
    <m/>
    <m/>
    <m/>
    <s v="Atingida"/>
    <s v="No Prazo"/>
    <n v="1"/>
    <n v="1"/>
    <m/>
    <m/>
    <m/>
    <m/>
    <s v="Middle Office"/>
    <m/>
    <m/>
    <m/>
    <m/>
    <m/>
    <m/>
  </r>
  <r>
    <n v="1"/>
    <s v="Chamado35"/>
    <n v="13"/>
    <m/>
    <m/>
    <x v="0"/>
    <x v="0"/>
    <x v="16"/>
    <x v="1"/>
    <x v="0"/>
    <x v="33"/>
    <m/>
    <m/>
    <m/>
    <s v="Atingida"/>
    <s v="No Prazo"/>
    <n v="1"/>
    <n v="7"/>
    <m/>
    <m/>
    <m/>
    <m/>
    <m/>
    <m/>
    <m/>
    <m/>
    <m/>
    <m/>
    <m/>
  </r>
  <r>
    <n v="1"/>
    <s v="Chamado36"/>
    <n v="11"/>
    <m/>
    <m/>
    <x v="0"/>
    <x v="0"/>
    <x v="9"/>
    <x v="0"/>
    <x v="1"/>
    <x v="34"/>
    <m/>
    <m/>
    <m/>
    <s v="Atingida"/>
    <s v="No Prazo"/>
    <n v="1"/>
    <n v="4"/>
    <m/>
    <n v="694751"/>
    <m/>
    <m/>
    <m/>
    <m/>
    <m/>
    <m/>
    <m/>
    <m/>
    <m/>
  </r>
  <r>
    <n v="1"/>
    <s v="Chamado37"/>
    <n v="11"/>
    <m/>
    <m/>
    <x v="0"/>
    <x v="0"/>
    <x v="9"/>
    <x v="1"/>
    <x v="0"/>
    <x v="35"/>
    <m/>
    <m/>
    <m/>
    <s v="Não Atingida"/>
    <s v="No Prazo"/>
    <n v="1"/>
    <n v="2"/>
    <m/>
    <n v="644973"/>
    <m/>
    <m/>
    <m/>
    <m/>
    <m/>
    <m/>
    <m/>
    <m/>
    <m/>
  </r>
  <r>
    <n v="1"/>
    <s v="Chamado38"/>
    <n v="15"/>
    <m/>
    <m/>
    <x v="0"/>
    <x v="0"/>
    <x v="10"/>
    <x v="0"/>
    <x v="1"/>
    <x v="7"/>
    <m/>
    <m/>
    <m/>
    <s v="Atingida"/>
    <s v="No Prazo"/>
    <n v="1"/>
    <n v="8"/>
    <m/>
    <m/>
    <m/>
    <m/>
    <m/>
    <m/>
    <m/>
    <m/>
    <m/>
    <m/>
    <m/>
  </r>
  <r>
    <n v="1"/>
    <s v="Chamado39"/>
    <n v="24"/>
    <m/>
    <m/>
    <x v="0"/>
    <x v="2"/>
    <x v="12"/>
    <x v="1"/>
    <x v="0"/>
    <x v="36"/>
    <m/>
    <m/>
    <m/>
    <s v="Atingida"/>
    <s v="No Prazo"/>
    <n v="1"/>
    <n v="9"/>
    <m/>
    <m/>
    <m/>
    <m/>
    <s v="Backoffice Produtos"/>
    <m/>
    <m/>
    <m/>
    <m/>
    <m/>
    <m/>
  </r>
  <r>
    <n v="1"/>
    <s v="Chamado40"/>
    <n v="1"/>
    <m/>
    <m/>
    <x v="1"/>
    <x v="4"/>
    <x v="15"/>
    <x v="1"/>
    <x v="1"/>
    <x v="27"/>
    <m/>
    <m/>
    <m/>
    <s v="Atingida"/>
    <s v="No Prazo"/>
    <n v="1"/>
    <n v="2"/>
    <m/>
    <m/>
    <s v="W"/>
    <s v="Geral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">
  <r>
    <n v="1"/>
    <s v="Chamado1"/>
    <n v="14"/>
    <s v="Concluído"/>
    <m/>
    <s v="Coord 3"/>
    <x v="0"/>
    <x v="0"/>
    <x v="0"/>
    <x v="0"/>
    <x v="0"/>
    <n v="23"/>
    <d v="1899-12-30T12:50:00"/>
    <d v="1899-12-30T12:45:00"/>
    <s v="Atingida"/>
    <x v="0"/>
    <n v="1"/>
    <n v="1"/>
    <m/>
    <m/>
    <x v="0"/>
    <x v="0"/>
    <x v="0"/>
    <x v="0"/>
    <m/>
    <m/>
    <m/>
    <m/>
    <m/>
  </r>
  <r>
    <n v="1"/>
    <s v="Chamado2"/>
    <n v="19"/>
    <s v="Concluído"/>
    <m/>
    <s v="Coord 1"/>
    <x v="1"/>
    <x v="1"/>
    <x v="1"/>
    <x v="1"/>
    <x v="1"/>
    <m/>
    <m/>
    <m/>
    <s v="Atingida"/>
    <x v="0"/>
    <n v="1"/>
    <n v="4"/>
    <m/>
    <m/>
    <x v="0"/>
    <x v="0"/>
    <x v="0"/>
    <x v="0"/>
    <m/>
    <m/>
    <m/>
    <m/>
    <m/>
  </r>
  <r>
    <n v="1"/>
    <s v="Chamado3"/>
    <n v="10"/>
    <s v="Concluído"/>
    <m/>
    <s v="Coord 3"/>
    <x v="0"/>
    <x v="2"/>
    <x v="1"/>
    <x v="2"/>
    <x v="2"/>
    <m/>
    <m/>
    <m/>
    <s v="Não Atingida"/>
    <x v="0"/>
    <n v="1"/>
    <n v="6"/>
    <m/>
    <n v="976329"/>
    <x v="0"/>
    <x v="0"/>
    <x v="0"/>
    <x v="0"/>
    <m/>
    <m/>
    <m/>
    <m/>
    <m/>
  </r>
  <r>
    <n v="1"/>
    <s v="Chamado4"/>
    <n v="21"/>
    <s v="Concluído"/>
    <m/>
    <s v="Coord 3"/>
    <x v="2"/>
    <x v="3"/>
    <x v="0"/>
    <x v="3"/>
    <x v="3"/>
    <m/>
    <m/>
    <m/>
    <s v="Atingida"/>
    <x v="0"/>
    <n v="1"/>
    <n v="2"/>
    <m/>
    <m/>
    <x v="0"/>
    <x v="0"/>
    <x v="1"/>
    <x v="1"/>
    <m/>
    <m/>
    <m/>
    <m/>
    <m/>
  </r>
  <r>
    <n v="1"/>
    <s v="Chamado5"/>
    <n v="19"/>
    <s v="Cancelado"/>
    <m/>
    <s v="Coord 1"/>
    <x v="1"/>
    <x v="1"/>
    <x v="1"/>
    <x v="4"/>
    <x v="4"/>
    <m/>
    <m/>
    <m/>
    <s v="Atingida"/>
    <x v="0"/>
    <n v="1"/>
    <n v="4"/>
    <m/>
    <m/>
    <x v="0"/>
    <x v="0"/>
    <x v="0"/>
    <x v="0"/>
    <m/>
    <m/>
    <m/>
    <m/>
    <m/>
  </r>
  <r>
    <n v="1"/>
    <s v="Chamado6"/>
    <n v="8"/>
    <s v="Concluído"/>
    <m/>
    <s v="Coord 2"/>
    <x v="3"/>
    <x v="4"/>
    <x v="1"/>
    <x v="4"/>
    <x v="5"/>
    <m/>
    <m/>
    <m/>
    <s v="Atingida"/>
    <x v="0"/>
    <n v="1"/>
    <n v="5"/>
    <m/>
    <m/>
    <x v="0"/>
    <x v="0"/>
    <x v="0"/>
    <x v="0"/>
    <m/>
    <m/>
    <m/>
    <m/>
    <m/>
  </r>
  <r>
    <n v="1"/>
    <s v="Chamado7"/>
    <n v="17"/>
    <s v="Concluído"/>
    <m/>
    <s v="Coord 3"/>
    <x v="0"/>
    <x v="5"/>
    <x v="0"/>
    <x v="1"/>
    <x v="6"/>
    <m/>
    <m/>
    <m/>
    <s v="Atingida"/>
    <x v="0"/>
    <n v="1"/>
    <n v="8"/>
    <m/>
    <m/>
    <x v="0"/>
    <x v="0"/>
    <x v="0"/>
    <x v="0"/>
    <m/>
    <m/>
    <m/>
    <m/>
    <m/>
  </r>
  <r>
    <n v="1"/>
    <s v="Chamado8"/>
    <n v="12"/>
    <s v="Concluído"/>
    <m/>
    <s v="Coord 3"/>
    <x v="0"/>
    <x v="6"/>
    <x v="1"/>
    <x v="2"/>
    <x v="7"/>
    <m/>
    <m/>
    <m/>
    <s v="Não Atingida"/>
    <x v="1"/>
    <n v="0"/>
    <n v="8"/>
    <m/>
    <m/>
    <x v="0"/>
    <x v="0"/>
    <x v="0"/>
    <x v="0"/>
    <m/>
    <m/>
    <m/>
    <m/>
    <m/>
  </r>
  <r>
    <n v="1"/>
    <s v="Chamado44"/>
    <n v="21"/>
    <s v="Concluído"/>
    <m/>
    <s v="Coord 3"/>
    <x v="2"/>
    <x v="3"/>
    <x v="0"/>
    <x v="2"/>
    <x v="3"/>
    <m/>
    <m/>
    <m/>
    <s v="Atingida"/>
    <x v="0"/>
    <n v="1"/>
    <n v="2"/>
    <m/>
    <m/>
    <x v="0"/>
    <x v="0"/>
    <x v="1"/>
    <x v="2"/>
    <m/>
    <m/>
    <m/>
    <m/>
    <m/>
  </r>
  <r>
    <n v="1"/>
    <s v="Chamado42"/>
    <n v="21"/>
    <s v="Concluído"/>
    <m/>
    <s v="Coord 3"/>
    <x v="2"/>
    <x v="3"/>
    <x v="0"/>
    <x v="3"/>
    <x v="3"/>
    <m/>
    <m/>
    <m/>
    <s v="Atingida"/>
    <x v="0"/>
    <n v="1"/>
    <n v="2"/>
    <m/>
    <m/>
    <x v="0"/>
    <x v="0"/>
    <x v="1"/>
    <x v="2"/>
    <m/>
    <m/>
    <m/>
    <m/>
    <m/>
  </r>
  <r>
    <n v="1"/>
    <s v="Chamado9"/>
    <n v="23"/>
    <s v="Concluído"/>
    <m/>
    <s v="Coord 3"/>
    <x v="2"/>
    <x v="7"/>
    <x v="1"/>
    <x v="3"/>
    <x v="8"/>
    <m/>
    <m/>
    <m/>
    <s v="Atingida"/>
    <x v="0"/>
    <n v="1"/>
    <n v="8"/>
    <m/>
    <m/>
    <x v="0"/>
    <x v="0"/>
    <x v="2"/>
    <x v="0"/>
    <m/>
    <m/>
    <m/>
    <m/>
    <m/>
  </r>
  <r>
    <n v="1"/>
    <s v="Chamado10"/>
    <n v="9"/>
    <s v="Concluído"/>
    <m/>
    <s v="Coord 3"/>
    <x v="0"/>
    <x v="8"/>
    <x v="1"/>
    <x v="3"/>
    <x v="9"/>
    <m/>
    <m/>
    <m/>
    <s v="Atingida"/>
    <x v="0"/>
    <n v="1"/>
    <n v="8"/>
    <m/>
    <n v="398091"/>
    <x v="0"/>
    <x v="0"/>
    <x v="0"/>
    <x v="0"/>
    <m/>
    <m/>
    <m/>
    <m/>
    <m/>
  </r>
  <r>
    <n v="1"/>
    <s v="Chamado11"/>
    <n v="11"/>
    <m/>
    <m/>
    <s v="Coord 3"/>
    <x v="0"/>
    <x v="9"/>
    <x v="0"/>
    <x v="3"/>
    <x v="10"/>
    <m/>
    <m/>
    <m/>
    <s v="Não Atingida"/>
    <x v="0"/>
    <n v="1"/>
    <n v="6"/>
    <m/>
    <n v="613253"/>
    <x v="0"/>
    <x v="0"/>
    <x v="0"/>
    <x v="0"/>
    <m/>
    <m/>
    <m/>
    <m/>
    <m/>
  </r>
  <r>
    <n v="1"/>
    <s v="Chamado12"/>
    <n v="15"/>
    <m/>
    <m/>
    <s v="Coord 3"/>
    <x v="0"/>
    <x v="10"/>
    <x v="1"/>
    <x v="2"/>
    <x v="11"/>
    <m/>
    <m/>
    <m/>
    <s v="Atingida"/>
    <x v="0"/>
    <n v="1"/>
    <n v="1"/>
    <m/>
    <m/>
    <x v="0"/>
    <x v="0"/>
    <x v="0"/>
    <x v="0"/>
    <m/>
    <m/>
    <m/>
    <m/>
    <m/>
  </r>
  <r>
    <n v="1"/>
    <s v="Chamado13"/>
    <n v="6"/>
    <m/>
    <m/>
    <s v="Coord 1"/>
    <x v="4"/>
    <x v="11"/>
    <x v="0"/>
    <x v="0"/>
    <x v="12"/>
    <m/>
    <m/>
    <m/>
    <s v="Não Atingida"/>
    <x v="1"/>
    <n v="0"/>
    <n v="1"/>
    <m/>
    <m/>
    <x v="0"/>
    <x v="0"/>
    <x v="0"/>
    <x v="0"/>
    <m/>
    <m/>
    <m/>
    <m/>
    <m/>
  </r>
  <r>
    <n v="1"/>
    <s v="Chamado14"/>
    <n v="9"/>
    <m/>
    <m/>
    <s v="Coord 3"/>
    <x v="0"/>
    <x v="8"/>
    <x v="0"/>
    <x v="0"/>
    <x v="13"/>
    <m/>
    <m/>
    <m/>
    <s v="Não Atingida"/>
    <x v="0"/>
    <n v="1"/>
    <n v="2"/>
    <m/>
    <n v="446849"/>
    <x v="0"/>
    <x v="0"/>
    <x v="0"/>
    <x v="0"/>
    <m/>
    <m/>
    <m/>
    <m/>
    <m/>
  </r>
  <r>
    <n v="1"/>
    <s v="Chamado15"/>
    <n v="25"/>
    <m/>
    <m/>
    <s v="Coord 3"/>
    <x v="2"/>
    <x v="12"/>
    <x v="0"/>
    <x v="2"/>
    <x v="14"/>
    <m/>
    <m/>
    <m/>
    <s v="Não Atingida"/>
    <x v="1"/>
    <n v="0"/>
    <n v="6"/>
    <m/>
    <m/>
    <x v="0"/>
    <x v="0"/>
    <x v="3"/>
    <x v="0"/>
    <m/>
    <m/>
    <m/>
    <m/>
    <m/>
  </r>
  <r>
    <n v="1"/>
    <s v="Chamado16"/>
    <n v="20"/>
    <m/>
    <m/>
    <s v="Coord 2"/>
    <x v="5"/>
    <x v="13"/>
    <x v="1"/>
    <x v="0"/>
    <x v="15"/>
    <m/>
    <m/>
    <m/>
    <s v="Atingida"/>
    <x v="0"/>
    <n v="1"/>
    <n v="1"/>
    <m/>
    <m/>
    <x v="0"/>
    <x v="0"/>
    <x v="0"/>
    <x v="0"/>
    <m/>
    <m/>
    <m/>
    <m/>
    <m/>
  </r>
  <r>
    <n v="1"/>
    <s v="Chamado17"/>
    <n v="6"/>
    <m/>
    <m/>
    <s v="Coord 1"/>
    <x v="4"/>
    <x v="11"/>
    <x v="0"/>
    <x v="1"/>
    <x v="16"/>
    <m/>
    <m/>
    <m/>
    <s v="Não Atingida"/>
    <x v="0"/>
    <n v="1"/>
    <n v="3"/>
    <m/>
    <m/>
    <x v="0"/>
    <x v="0"/>
    <x v="0"/>
    <x v="0"/>
    <m/>
    <m/>
    <m/>
    <m/>
    <m/>
  </r>
  <r>
    <n v="1"/>
    <s v="Chamado18"/>
    <n v="16"/>
    <m/>
    <m/>
    <s v="Coord 3"/>
    <x v="0"/>
    <x v="14"/>
    <x v="1"/>
    <x v="2"/>
    <x v="17"/>
    <m/>
    <m/>
    <m/>
    <s v="Atingida"/>
    <x v="0"/>
    <n v="1"/>
    <n v="7"/>
    <m/>
    <n v="634977"/>
    <x v="0"/>
    <x v="0"/>
    <x v="0"/>
    <x v="0"/>
    <m/>
    <m/>
    <m/>
    <m/>
    <m/>
  </r>
  <r>
    <n v="1"/>
    <s v="Chamado19"/>
    <n v="1"/>
    <m/>
    <m/>
    <s v="Coord 1"/>
    <x v="4"/>
    <x v="15"/>
    <x v="1"/>
    <x v="2"/>
    <x v="18"/>
    <m/>
    <m/>
    <m/>
    <s v="Não Atingida"/>
    <x v="0"/>
    <n v="1"/>
    <n v="8"/>
    <m/>
    <m/>
    <x v="1"/>
    <x v="1"/>
    <x v="0"/>
    <x v="0"/>
    <m/>
    <m/>
    <m/>
    <m/>
    <m/>
  </r>
  <r>
    <n v="1"/>
    <s v="Chamado20"/>
    <n v="19"/>
    <m/>
    <m/>
    <s v="Coord 1"/>
    <x v="1"/>
    <x v="1"/>
    <x v="0"/>
    <x v="0"/>
    <x v="19"/>
    <m/>
    <m/>
    <m/>
    <s v="Não Atingida"/>
    <x v="1"/>
    <n v="0"/>
    <n v="6"/>
    <m/>
    <m/>
    <x v="0"/>
    <x v="0"/>
    <x v="0"/>
    <x v="0"/>
    <m/>
    <m/>
    <m/>
    <m/>
    <m/>
  </r>
  <r>
    <n v="1"/>
    <s v="Chamado21"/>
    <n v="10"/>
    <m/>
    <m/>
    <s v="Coord 3"/>
    <x v="0"/>
    <x v="2"/>
    <x v="1"/>
    <x v="0"/>
    <x v="20"/>
    <m/>
    <m/>
    <m/>
    <s v="Não Atingida"/>
    <x v="0"/>
    <n v="1"/>
    <n v="3"/>
    <m/>
    <n v="512083"/>
    <x v="0"/>
    <x v="0"/>
    <x v="0"/>
    <x v="0"/>
    <m/>
    <m/>
    <m/>
    <m/>
    <m/>
  </r>
  <r>
    <n v="1"/>
    <s v="Chamado22"/>
    <n v="13"/>
    <m/>
    <m/>
    <s v="Coord 3"/>
    <x v="0"/>
    <x v="16"/>
    <x v="1"/>
    <x v="0"/>
    <x v="21"/>
    <m/>
    <m/>
    <m/>
    <s v="Não Atingida"/>
    <x v="0"/>
    <n v="1"/>
    <n v="2"/>
    <m/>
    <m/>
    <x v="0"/>
    <x v="0"/>
    <x v="0"/>
    <x v="0"/>
    <m/>
    <m/>
    <m/>
    <m/>
    <m/>
  </r>
  <r>
    <n v="1"/>
    <s v="Chamado23"/>
    <n v="19"/>
    <m/>
    <m/>
    <s v="Coord 1"/>
    <x v="1"/>
    <x v="1"/>
    <x v="1"/>
    <x v="1"/>
    <x v="22"/>
    <m/>
    <m/>
    <m/>
    <s v="Não Atingida"/>
    <x v="0"/>
    <n v="1"/>
    <n v="7"/>
    <m/>
    <m/>
    <x v="0"/>
    <x v="0"/>
    <x v="0"/>
    <x v="0"/>
    <m/>
    <m/>
    <m/>
    <m/>
    <m/>
  </r>
  <r>
    <n v="1"/>
    <s v="Chamado24"/>
    <n v="9"/>
    <m/>
    <m/>
    <s v="Coord 3"/>
    <x v="0"/>
    <x v="8"/>
    <x v="1"/>
    <x v="2"/>
    <x v="23"/>
    <m/>
    <m/>
    <m/>
    <s v="Não Atingida"/>
    <x v="0"/>
    <n v="1"/>
    <n v="5"/>
    <m/>
    <n v="452131"/>
    <x v="0"/>
    <x v="0"/>
    <x v="0"/>
    <x v="0"/>
    <m/>
    <m/>
    <m/>
    <m/>
    <m/>
  </r>
  <r>
    <n v="1"/>
    <s v="Chamado25"/>
    <n v="25"/>
    <m/>
    <m/>
    <s v="Coord 3"/>
    <x v="2"/>
    <x v="12"/>
    <x v="1"/>
    <x v="2"/>
    <x v="24"/>
    <m/>
    <m/>
    <m/>
    <s v="Não Atingida"/>
    <x v="0"/>
    <n v="1"/>
    <n v="3"/>
    <m/>
    <m/>
    <x v="0"/>
    <x v="0"/>
    <x v="2"/>
    <x v="0"/>
    <m/>
    <m/>
    <m/>
    <m/>
    <m/>
  </r>
  <r>
    <n v="1"/>
    <s v="Chamado26"/>
    <n v="13"/>
    <m/>
    <m/>
    <s v="Coord 3"/>
    <x v="0"/>
    <x v="16"/>
    <x v="1"/>
    <x v="2"/>
    <x v="25"/>
    <m/>
    <m/>
    <m/>
    <s v="Não Atingida"/>
    <x v="0"/>
    <n v="1"/>
    <n v="7"/>
    <m/>
    <m/>
    <x v="0"/>
    <x v="0"/>
    <x v="0"/>
    <x v="0"/>
    <m/>
    <m/>
    <m/>
    <m/>
    <m/>
  </r>
  <r>
    <n v="1"/>
    <s v="Chamado27"/>
    <n v="4"/>
    <m/>
    <m/>
    <s v="Coord 1"/>
    <x v="4"/>
    <x v="17"/>
    <x v="1"/>
    <x v="2"/>
    <x v="26"/>
    <m/>
    <m/>
    <m/>
    <s v="Não Atingida"/>
    <x v="0"/>
    <n v="1"/>
    <n v="3"/>
    <m/>
    <m/>
    <x v="0"/>
    <x v="0"/>
    <x v="0"/>
    <x v="0"/>
    <m/>
    <m/>
    <m/>
    <m/>
    <m/>
  </r>
  <r>
    <n v="1"/>
    <s v="Chamado28"/>
    <n v="12"/>
    <m/>
    <m/>
    <s v="Coord 3"/>
    <x v="0"/>
    <x v="6"/>
    <x v="1"/>
    <x v="2"/>
    <x v="27"/>
    <m/>
    <m/>
    <m/>
    <s v="Não Atingida"/>
    <x v="0"/>
    <n v="1"/>
    <n v="2"/>
    <m/>
    <m/>
    <x v="0"/>
    <x v="0"/>
    <x v="0"/>
    <x v="0"/>
    <m/>
    <m/>
    <m/>
    <m/>
    <m/>
  </r>
  <r>
    <n v="1"/>
    <s v="Chamado29"/>
    <n v="20"/>
    <m/>
    <m/>
    <s v="Coord 2"/>
    <x v="5"/>
    <x v="13"/>
    <x v="1"/>
    <x v="2"/>
    <x v="28"/>
    <m/>
    <m/>
    <m/>
    <s v="Não Atingida"/>
    <x v="0"/>
    <n v="1"/>
    <n v="5"/>
    <m/>
    <m/>
    <x v="0"/>
    <x v="0"/>
    <x v="0"/>
    <x v="0"/>
    <m/>
    <m/>
    <m/>
    <m/>
    <m/>
  </r>
  <r>
    <n v="1"/>
    <s v="Chamado30"/>
    <n v="16"/>
    <m/>
    <m/>
    <s v="Coord 3"/>
    <x v="0"/>
    <x v="14"/>
    <x v="1"/>
    <x v="2"/>
    <x v="29"/>
    <m/>
    <m/>
    <m/>
    <s v="Não Atingida"/>
    <x v="0"/>
    <n v="1"/>
    <n v="7"/>
    <m/>
    <n v="431275"/>
    <x v="0"/>
    <x v="0"/>
    <x v="0"/>
    <x v="0"/>
    <m/>
    <m/>
    <m/>
    <m/>
    <m/>
  </r>
  <r>
    <n v="1"/>
    <s v="Chamado31"/>
    <n v="15"/>
    <m/>
    <m/>
    <s v="Coord 3"/>
    <x v="0"/>
    <x v="10"/>
    <x v="0"/>
    <x v="0"/>
    <x v="30"/>
    <m/>
    <m/>
    <m/>
    <s v="Não Atingida"/>
    <x v="0"/>
    <n v="1"/>
    <n v="8"/>
    <m/>
    <m/>
    <x v="0"/>
    <x v="0"/>
    <x v="0"/>
    <x v="0"/>
    <m/>
    <m/>
    <m/>
    <m/>
    <m/>
  </r>
  <r>
    <n v="1"/>
    <s v="Chamado32"/>
    <n v="5"/>
    <m/>
    <m/>
    <s v="Coord 1"/>
    <x v="4"/>
    <x v="18"/>
    <x v="1"/>
    <x v="1"/>
    <x v="31"/>
    <m/>
    <m/>
    <m/>
    <s v="Não Atingida"/>
    <x v="0"/>
    <n v="1"/>
    <n v="6"/>
    <m/>
    <m/>
    <x v="0"/>
    <x v="0"/>
    <x v="0"/>
    <x v="0"/>
    <m/>
    <m/>
    <m/>
    <m/>
    <m/>
  </r>
  <r>
    <n v="1"/>
    <s v="Chamado33"/>
    <n v="6"/>
    <m/>
    <m/>
    <s v="Coord 1"/>
    <x v="4"/>
    <x v="11"/>
    <x v="1"/>
    <x v="0"/>
    <x v="3"/>
    <m/>
    <m/>
    <m/>
    <s v="Não Atingida"/>
    <x v="1"/>
    <n v="0"/>
    <n v="2"/>
    <m/>
    <m/>
    <x v="0"/>
    <x v="0"/>
    <x v="0"/>
    <x v="0"/>
    <m/>
    <m/>
    <m/>
    <m/>
    <m/>
  </r>
  <r>
    <n v="1"/>
    <s v="Chamado34"/>
    <n v="22"/>
    <m/>
    <m/>
    <s v="Coord 3"/>
    <x v="2"/>
    <x v="19"/>
    <x v="0"/>
    <x v="1"/>
    <x v="32"/>
    <m/>
    <m/>
    <m/>
    <s v="Atingida"/>
    <x v="0"/>
    <n v="1"/>
    <n v="1"/>
    <m/>
    <m/>
    <x v="0"/>
    <x v="0"/>
    <x v="3"/>
    <x v="0"/>
    <m/>
    <m/>
    <m/>
    <m/>
    <m/>
  </r>
  <r>
    <n v="1"/>
    <s v="Chamado35"/>
    <n v="13"/>
    <m/>
    <m/>
    <s v="Coord 3"/>
    <x v="0"/>
    <x v="16"/>
    <x v="1"/>
    <x v="0"/>
    <x v="33"/>
    <m/>
    <m/>
    <m/>
    <s v="Atingida"/>
    <x v="0"/>
    <n v="1"/>
    <n v="7"/>
    <m/>
    <m/>
    <x v="0"/>
    <x v="0"/>
    <x v="0"/>
    <x v="0"/>
    <m/>
    <m/>
    <m/>
    <m/>
    <m/>
  </r>
  <r>
    <n v="1"/>
    <s v="Chamado36"/>
    <n v="11"/>
    <m/>
    <m/>
    <s v="Coord 3"/>
    <x v="0"/>
    <x v="9"/>
    <x v="0"/>
    <x v="1"/>
    <x v="34"/>
    <m/>
    <m/>
    <m/>
    <s v="Atingida"/>
    <x v="0"/>
    <n v="1"/>
    <n v="4"/>
    <m/>
    <n v="694751"/>
    <x v="0"/>
    <x v="0"/>
    <x v="0"/>
    <x v="0"/>
    <m/>
    <m/>
    <m/>
    <m/>
    <m/>
  </r>
  <r>
    <n v="1"/>
    <s v="Chamado37"/>
    <n v="11"/>
    <m/>
    <m/>
    <s v="Coord 3"/>
    <x v="0"/>
    <x v="9"/>
    <x v="1"/>
    <x v="0"/>
    <x v="35"/>
    <m/>
    <m/>
    <m/>
    <s v="Não Atingida"/>
    <x v="0"/>
    <n v="1"/>
    <n v="2"/>
    <m/>
    <n v="644973"/>
    <x v="0"/>
    <x v="0"/>
    <x v="0"/>
    <x v="0"/>
    <m/>
    <m/>
    <m/>
    <m/>
    <m/>
  </r>
  <r>
    <n v="1"/>
    <s v="Chamado38"/>
    <n v="15"/>
    <m/>
    <m/>
    <s v="Coord 3"/>
    <x v="0"/>
    <x v="10"/>
    <x v="0"/>
    <x v="1"/>
    <x v="7"/>
    <m/>
    <m/>
    <m/>
    <s v="Atingida"/>
    <x v="0"/>
    <n v="1"/>
    <n v="8"/>
    <m/>
    <m/>
    <x v="0"/>
    <x v="0"/>
    <x v="0"/>
    <x v="0"/>
    <m/>
    <m/>
    <m/>
    <m/>
    <m/>
  </r>
  <r>
    <n v="1"/>
    <s v="Chamado39"/>
    <n v="24"/>
    <m/>
    <m/>
    <s v="Coord 3"/>
    <x v="2"/>
    <x v="12"/>
    <x v="1"/>
    <x v="0"/>
    <x v="36"/>
    <m/>
    <m/>
    <m/>
    <s v="Atingida"/>
    <x v="0"/>
    <n v="1"/>
    <n v="9"/>
    <m/>
    <m/>
    <x v="0"/>
    <x v="0"/>
    <x v="1"/>
    <x v="0"/>
    <m/>
    <m/>
    <m/>
    <m/>
    <m/>
  </r>
  <r>
    <n v="1"/>
    <s v="Chamado40"/>
    <n v="1"/>
    <m/>
    <m/>
    <s v="Coord 1"/>
    <x v="4"/>
    <x v="15"/>
    <x v="1"/>
    <x v="1"/>
    <x v="27"/>
    <m/>
    <m/>
    <m/>
    <s v="Atingida"/>
    <x v="0"/>
    <n v="1"/>
    <n v="2"/>
    <m/>
    <m/>
    <x v="2"/>
    <x v="2"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NovasOps" cacheId="21" applyNumberFormats="0" applyBorderFormats="0" applyFontFormats="0" applyPatternFormats="0" applyAlignmentFormats="0" applyWidthHeightFormats="1" dataCaption="Valores" updatedVersion="5" minRefreshableVersion="5" rowGrandTotals="0" colGrandTotals="0" itemPrintTitles="1" createdVersion="5" indent="0" compact="0" compactData="0" multipleFieldFilters="0">
  <location ref="C14:D15" firstHeaderRow="1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dataField="1" compact="0" outline="0" showAll="0" defaultSubtotal="0">
      <items count="21">
        <item h="1" m="1" x="20"/>
        <item h="1" x="14"/>
        <item h="1" x="4"/>
        <item h="1" x="7"/>
        <item h="1" x="3"/>
        <item h="1" x="16"/>
        <item h="1" x="0"/>
        <item h="1" x="19"/>
        <item h="1" x="6"/>
        <item h="1" x="1"/>
        <item x="15"/>
        <item h="1" x="10"/>
        <item h="1" x="9"/>
        <item h="1" x="2"/>
        <item h="1" x="8"/>
        <item h="1" x="5"/>
        <item h="1" x="11"/>
        <item h="1" x="13"/>
        <item h="1" x="12"/>
        <item h="1" x="18"/>
        <item h="1" x="17"/>
      </items>
    </pivotField>
    <pivotField compact="0" outline="0" showAll="0" defaultSubtotal="0"/>
    <pivotField compact="0" outline="0" showAll="0" defaultSubtotal="0"/>
    <pivotField compact="0" numFmtId="16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7"/>
  </rowFields>
  <rowItems count="1">
    <i>
      <x v="10"/>
    </i>
  </rowItems>
  <colItems count="1">
    <i/>
  </colItems>
  <dataFields count="1">
    <dataField name="Contagem de Fluxo" fld="7" subtotal="count" baseField="0" baseItem="0"/>
  </dataFields>
  <formats count="3">
    <format dxfId="0">
      <pivotArea outline="0" collapsedLevelsAreSubtotals="1" fieldPosition="0"/>
    </format>
    <format dxfId="1">
      <pivotArea outline="0" collapsedLevelsAreSubtotals="1" fieldPosition="0"/>
    </format>
    <format dxfId="2">
      <pivotArea outline="0" collapsedLevelsAreSubtotals="1" fieldPosition="0"/>
    </format>
  </formats>
  <pivotTableStyleInfo showRowHeaders="0" showColHeaders="0" showRowStripes="0" showColStripes="0" showLastColumn="1"/>
  <filters count="1">
    <filter fld="10" type="dateBetween" evalOrder="-1" id="12" name="Data de Abertura">
      <autoFilter ref="A1">
        <filterColumn colId="0">
          <customFilters and="1">
            <customFilter operator="greaterThanOrEqual" val="1"/>
            <customFilter operator="lessThanOrEqual" val="36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T_Liberações" cacheId="21" applyNumberFormats="0" applyBorderFormats="0" applyFontFormats="0" applyPatternFormats="0" applyAlignmentFormats="0" applyWidthHeightFormats="1" dataCaption="Valores" updatedVersion="5" minRefreshableVersion="5" itemPrintTitles="1" createdVersion="5" indent="0" outline="1" outlineData="1" multipleFieldFilters="0">
  <location ref="I14:L21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showAll="0"/>
    <pivotField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5"/>
        <item x="10"/>
        <item x="9"/>
        <item x="2"/>
        <item x="8"/>
        <item x="5"/>
        <item x="11"/>
        <item x="13"/>
        <item x="12"/>
        <item x="18"/>
        <item x="17"/>
        <item t="default"/>
      </items>
    </pivotField>
    <pivotField axis="axisCol">
      <items count="3">
        <item x="1"/>
        <item x="0"/>
        <item t="default"/>
      </items>
    </pivotField>
    <pivotField axis="axisRow">
      <items count="6">
        <item x="3"/>
        <item x="1"/>
        <item x="2"/>
        <item x="0"/>
        <item x="4"/>
        <item t="default"/>
      </items>
    </pivotField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8"/>
  </colFields>
  <colItems count="3">
    <i>
      <x/>
    </i>
    <i>
      <x v="1"/>
    </i>
    <i t="grand">
      <x/>
    </i>
  </colItems>
  <dataFields count="1">
    <dataField name="Soma de Valor Liberado" fld="19" baseField="0" baseItem="0" numFmtId="44"/>
  </dataFields>
  <formats count="7">
    <format dxfId="3">
      <pivotArea collapsedLevelsAreSubtotals="1" fieldPosition="0">
        <references count="1">
          <reference field="9" count="0"/>
        </references>
      </pivotArea>
    </format>
    <format dxfId="4">
      <pivotArea grandRow="1" outline="0" collapsedLevelsAreSubtotals="1" fieldPosition="0"/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6">
      <pivotArea dataOnly="0" labelOnly="1" fieldPosition="0">
        <references count="1">
          <reference field="8" count="1">
            <x v="1"/>
          </reference>
        </references>
      </pivotArea>
    </format>
    <format dxfId="7">
      <pivotArea field="9" type="button" dataOnly="0" labelOnly="1" outline="0" axis="axisRow" fieldPosition="0"/>
    </format>
    <format dxfId="8">
      <pivotArea field="9" type="button" dataOnly="0" labelOnly="1" outline="0" axis="axisRow" fieldPosition="0"/>
    </format>
    <format dxfId="9">
      <pivotArea outline="0" collapsedLevelsAreSubtotals="1" fieldPosition="0"/>
    </format>
  </formats>
  <pivotTableStyleInfo name="PivotStyleLight1" showRowHeaders="1" showColHeaders="1" showRowStripes="1" showColStripes="0" showLastColumn="1"/>
  <filters count="1">
    <filter fld="10" type="dateBetween" evalOrder="-1" id="12" name="Data de Abertura">
      <autoFilter ref="A1">
        <filterColumn colId="0">
          <customFilters and="1">
            <customFilter operator="greaterThanOrEqual" val="1"/>
            <customFilter operator="lessThanOrEqual" val="36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2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8">
  <location ref="J1:K4" firstHeaderRow="1" firstDataRow="1" firstDataCol="1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h="1"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23"/>
  </rowFields>
  <rowItems count="3">
    <i>
      <x v="1"/>
    </i>
    <i>
      <x v="2"/>
    </i>
    <i t="grand">
      <x/>
    </i>
  </rowItems>
  <colItems count="1">
    <i/>
  </colItems>
  <dataFields count="1">
    <dataField name="Contagem de Tipo de Consulta" fld="23" subtotal="count" baseField="0" baseItem="0"/>
  </dataFields>
  <chartFormats count="3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T_Origem_Solicitação" cacheId="21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9">
  <location ref="G1:H5" firstHeaderRow="1" firstDataRow="1" firstDataCol="1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axis="axisRow" dataField="1" showAll="0" defaultSubtotal="0">
      <items count="4">
        <item x="1"/>
        <item x="2"/>
        <item x="3"/>
        <item h="1" x="0"/>
      </items>
    </pivotField>
    <pivotField showAll="0" defaultSubtotal="0"/>
    <pivotField showAll="0"/>
    <pivotField showAll="0"/>
    <pivotField showAll="0"/>
    <pivotField showAll="0"/>
    <pivotField showAll="0"/>
  </pivotFields>
  <rowFields count="1">
    <field x="2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Origem da Solicitação" fld="22" subtotal="count" baseField="0" baseItem="0"/>
  </dataFields>
  <chartFormats count="4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dateBetween" evalOrder="-1" id="12" name="Data de Abertura">
      <autoFilter ref="A1">
        <filterColumn colId="0">
          <customFilters and="1">
            <customFilter operator="greaterThanOrEqual" val="1"/>
            <customFilter operator="lessThanOrEqual" val="36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T_Particularidades" cacheId="21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7">
  <location ref="D1:E4" firstHeaderRow="1" firstDataRow="1" firstDataCol="1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Row" dataField="1" showAll="0" defaultSubtotal="0">
      <items count="3">
        <item x="1"/>
        <item x="2"/>
        <item h="1" x="0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21"/>
  </rowFields>
  <rowItems count="3">
    <i>
      <x/>
    </i>
    <i>
      <x v="1"/>
    </i>
    <i t="grand">
      <x/>
    </i>
  </rowItems>
  <colItems count="1">
    <i/>
  </colItems>
  <dataFields count="1">
    <dataField name="Contagem de Particularidades" fld="21" subtotal="count" baseField="0" baseItem="0"/>
  </dataFields>
  <chartFormats count="3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dateBetween" evalOrder="-1" id="12" name="Data de Abertura">
      <autoFilter ref="A1">
        <filterColumn colId="0">
          <customFilters and="1">
            <customFilter operator="greaterThanOrEqual" val="1"/>
            <customFilter operator="lessThanOrEqual" val="36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T_TEG" cacheId="21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8">
  <location ref="A1:B4" firstHeaderRow="1" firstDataRow="1" firstDataCol="1"/>
  <pivotFields count="2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multipleItemSelectionAllowed="1" showAll="0" defaultSubtotal="0">
      <items count="3">
        <item x="2"/>
        <item x="1"/>
        <item h="1" x="0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20"/>
  </rowFields>
  <rowItems count="3">
    <i>
      <x/>
    </i>
    <i>
      <x v="1"/>
    </i>
    <i t="grand">
      <x/>
    </i>
  </rowItems>
  <colItems count="1">
    <i/>
  </colItems>
  <dataFields count="1">
    <dataField name="Contagem de TEG" fld="20" subtotal="count" baseField="0" baseItem="0"/>
  </dataFields>
  <chartFormats count="3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dateBetween" evalOrder="-1" id="12" name="Data de Abertura">
      <autoFilter ref="A1">
        <filterColumn colId="0">
          <customFilters and="1">
            <customFilter operator="greaterThanOrEqual" val="1"/>
            <customFilter operator="lessThanOrEqual" val="36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2" cacheId="21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6">
  <location ref="A3:D11" firstHeaderRow="1" firstDataRow="2" firstDataCol="1"/>
  <pivotFields count="29">
    <pivotField showAll="0" defaultSubtotal="0"/>
    <pivotField showAll="0"/>
    <pivotField showAll="0"/>
    <pivotField showAll="0"/>
    <pivotField showAll="0"/>
    <pivotField showAll="0" defaultSubtotal="0"/>
    <pivotField axis="axisRow">
      <items count="7">
        <item x="2"/>
        <item x="3"/>
        <item x="1"/>
        <item x="4"/>
        <item x="0"/>
        <item x="5"/>
        <item t="default"/>
      </items>
    </pivotField>
    <pivotField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5"/>
        <item x="10"/>
        <item x="9"/>
        <item x="2"/>
        <item x="8"/>
        <item x="5"/>
        <item x="11"/>
        <item x="13"/>
        <item x="12"/>
        <item x="18"/>
        <item x="17"/>
        <item t="default"/>
      </items>
    </pivotField>
    <pivotField showAll="0">
      <items count="3">
        <item x="1"/>
        <item x="0"/>
        <item t="default"/>
      </items>
    </pivotField>
    <pivotField showAll="0"/>
    <pivotField numFmtId="16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/>
    <pivotField showAll="0"/>
    <pivotField showAll="0"/>
    <pivotField showAll="0"/>
    <pivotField axis="axisCol" dataField="1" showAll="0">
      <items count="3">
        <item x="1"/>
        <item x="0"/>
        <item t="default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5"/>
  </colFields>
  <colItems count="3">
    <i>
      <x/>
    </i>
    <i>
      <x v="1"/>
    </i>
    <i t="grand">
      <x/>
    </i>
  </colItems>
  <dataFields count="1">
    <dataField name="Contagem de Atraso" fld="15" subtotal="count" baseField="0" baseItem="0"/>
  </dataFields>
  <chartFormats count="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T_TipoGar_Vol" cacheId="9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32">
  <location ref="A1:C7" firstHeaderRow="0" firstDataRow="1" firstDataCol="1"/>
  <pivotFields count="29">
    <pivotField showAll="0" defaultSubtotal="0"/>
    <pivotField dataField="1" showAll="0"/>
    <pivotField showAll="0"/>
    <pivotField showAll="0"/>
    <pivotField showAll="0"/>
    <pivotField showAll="0"/>
    <pivotField showAll="0">
      <items count="7">
        <item x="2"/>
        <item x="3"/>
        <item x="1"/>
        <item x="4"/>
        <item x="0"/>
        <item x="5"/>
        <item t="default"/>
      </items>
    </pivotField>
    <pivotField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5"/>
        <item x="10"/>
        <item x="9"/>
        <item x="2"/>
        <item x="8"/>
        <item x="5"/>
        <item x="11"/>
        <item x="13"/>
        <item x="12"/>
        <item x="18"/>
        <item x="17"/>
        <item t="default"/>
      </items>
    </pivotField>
    <pivotField showAll="0">
      <items count="3">
        <item x="1"/>
        <item x="0"/>
        <item t="default"/>
      </items>
    </pivotField>
    <pivotField axis="axisRow" showAll="0">
      <items count="6">
        <item x="3"/>
        <item x="1"/>
        <item x="2"/>
        <item x="0"/>
        <item x="4"/>
        <item t="default"/>
      </items>
    </pivotField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 sortType="descending"/>
    <pivotField dataField="1"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Volume" fld="1" subtotal="count" baseField="9" baseItem="0"/>
    <dataField name="Atendimento SLA" fld="16" subtotal="average" baseField="9" baseItem="0" numFmtId="9"/>
  </dataFields>
  <formats count="1">
    <format dxfId="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6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T_Esteira_Vol" cacheId="9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36">
  <location ref="A1:C11" firstHeaderRow="0" firstDataRow="1" firstDataCol="1"/>
  <pivotFields count="29">
    <pivotField showAll="0" defaultSubtotal="0"/>
    <pivotField dataField="1"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axis="axisRow" showAll="0">
      <items count="7">
        <item x="0"/>
        <item x="2"/>
        <item x="3"/>
        <item x="4"/>
        <item x="1"/>
        <item x="5"/>
        <item t="default"/>
      </items>
    </pivotField>
    <pivotField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5"/>
        <item x="10"/>
        <item x="9"/>
        <item x="2"/>
        <item x="8"/>
        <item x="5"/>
        <item x="11"/>
        <item x="13"/>
        <item x="12"/>
        <item x="18"/>
        <item x="17"/>
        <item t="default"/>
      </items>
    </pivotField>
    <pivotField showAll="0">
      <items count="3">
        <item x="1"/>
        <item x="0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 sortType="descending"/>
    <pivotField dataField="1"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2">
    <field x="5"/>
    <field x="6"/>
  </rowFields>
  <rowItems count="10">
    <i>
      <x/>
    </i>
    <i r="1">
      <x v="3"/>
    </i>
    <i r="1">
      <x v="4"/>
    </i>
    <i>
      <x v="1"/>
    </i>
    <i r="1">
      <x v="2"/>
    </i>
    <i r="1">
      <x v="5"/>
    </i>
    <i>
      <x v="2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Volume" fld="1" subtotal="count" baseField="5" baseItem="0"/>
    <dataField name="Atendimento SLA" fld="16" subtotal="average" baseField="5" baseItem="0"/>
  </dataFields>
  <formats count="6">
    <format dxfId="23">
      <pivotArea collapsedLevelsAreSubtotals="1" fieldPosition="0">
        <references count="2">
          <reference field="4294967294" count="1" selected="0">
            <x v="1"/>
          </reference>
          <reference field="5" count="1">
            <x v="0"/>
          </reference>
        </references>
      </pivotArea>
    </format>
    <format dxfId="22">
      <pivotArea collapsedLevelsAreSubtotals="1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6" count="2">
            <x v="3"/>
            <x v="4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5" count="1">
            <x v="1"/>
          </reference>
        </references>
      </pivotArea>
    </format>
    <format dxfId="20">
      <pivotArea collapsedLevelsAreSubtotals="1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6" count="2">
            <x v="2"/>
            <x v="5"/>
          </reference>
        </references>
      </pivotArea>
    </format>
    <format dxfId="19">
      <pivotArea collapsedLevelsAreSubtotals="1" fieldPosition="0">
        <references count="2">
          <reference field="4294967294" count="1" selected="0">
            <x v="1"/>
          </reference>
          <reference field="5" count="1">
            <x v="2"/>
          </reference>
        </references>
      </pivotArea>
    </format>
    <format dxfId="18">
      <pivotArea collapsedLevelsAreSubtotals="1" fieldPosition="0">
        <references count="3">
          <reference field="4294967294" count="1" selected="0">
            <x v="1"/>
          </reference>
          <reference field="5" count="1" selected="0">
            <x v="2"/>
          </reference>
          <reference field="6" count="2">
            <x v="0"/>
            <x v="1"/>
          </reference>
        </references>
      </pivotArea>
    </format>
  </formats>
  <chartFormats count="7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T_Fluxo_Vol" cacheId="9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39">
  <location ref="H1:J31" firstHeaderRow="0" firstDataRow="1" firstDataCol="1"/>
  <pivotFields count="29">
    <pivotField showAll="0" defaultSubtotal="0"/>
    <pivotField dataField="1"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axis="axisRow" showAll="0">
      <items count="7">
        <item x="0"/>
        <item x="2"/>
        <item x="3"/>
        <item x="4"/>
        <item x="1"/>
        <item x="5"/>
        <item t="default"/>
      </items>
    </pivotField>
    <pivotField axis="axisRow"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0"/>
        <item x="9"/>
        <item x="2"/>
        <item x="8"/>
        <item x="5"/>
        <item x="11"/>
        <item x="13"/>
        <item x="12"/>
        <item x="18"/>
        <item x="17"/>
        <item x="15"/>
        <item t="default"/>
      </items>
    </pivotField>
    <pivotField showAll="0">
      <items count="3">
        <item x="1"/>
        <item x="0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 sortType="descending"/>
    <pivotField dataField="1"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3">
    <field x="5"/>
    <field x="6"/>
    <field x="7"/>
  </rowFields>
  <rowItems count="30">
    <i>
      <x/>
    </i>
    <i r="1">
      <x v="3"/>
    </i>
    <i r="2">
      <x v="15"/>
    </i>
    <i r="2">
      <x v="18"/>
    </i>
    <i r="2">
      <x v="19"/>
    </i>
    <i r="2">
      <x v="20"/>
    </i>
    <i r="1">
      <x v="4"/>
    </i>
    <i r="2">
      <x v="9"/>
    </i>
    <i>
      <x v="1"/>
    </i>
    <i r="1">
      <x v="2"/>
    </i>
    <i r="2">
      <x v="2"/>
    </i>
    <i r="1">
      <x v="5"/>
    </i>
    <i r="2">
      <x v="16"/>
    </i>
    <i>
      <x v="2"/>
    </i>
    <i r="1">
      <x/>
    </i>
    <i r="2">
      <x v="1"/>
    </i>
    <i r="2">
      <x v="5"/>
    </i>
    <i r="2">
      <x v="6"/>
    </i>
    <i r="2">
      <x v="8"/>
    </i>
    <i r="2">
      <x v="10"/>
    </i>
    <i r="2">
      <x v="11"/>
    </i>
    <i r="2">
      <x v="12"/>
    </i>
    <i r="2">
      <x v="13"/>
    </i>
    <i r="2">
      <x v="14"/>
    </i>
    <i r="1">
      <x v="1"/>
    </i>
    <i r="2">
      <x v="3"/>
    </i>
    <i r="2">
      <x v="4"/>
    </i>
    <i r="2">
      <x v="7"/>
    </i>
    <i r="2"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Volume" fld="1" subtotal="count" baseField="5" baseItem="0"/>
    <dataField name="Atendimento SLA" fld="16" subtotal="average" baseField="5" baseItem="0" numFmtId="9"/>
  </dataFields>
  <formats count="7">
    <format dxfId="30">
      <pivotArea collapsedLevelsAreSubtotals="1" fieldPosition="0">
        <references count="2">
          <reference field="4294967294" count="1" selected="0">
            <x v="1"/>
          </reference>
          <reference field="5" count="1">
            <x v="0"/>
          </reference>
        </references>
      </pivotArea>
    </format>
    <format dxfId="29">
      <pivotArea collapsedLevelsAreSubtotals="1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6" count="2">
            <x v="3"/>
            <x v="4"/>
          </reference>
        </references>
      </pivotArea>
    </format>
    <format dxfId="28">
      <pivotArea collapsedLevelsAreSubtotals="1" fieldPosition="0">
        <references count="2">
          <reference field="4294967294" count="1" selected="0">
            <x v="1"/>
          </reference>
          <reference field="5" count="1">
            <x v="1"/>
          </reference>
        </references>
      </pivotArea>
    </format>
    <format dxfId="27">
      <pivotArea collapsedLevelsAreSubtotals="1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6" count="2">
            <x v="2"/>
            <x v="5"/>
          </reference>
        </references>
      </pivotArea>
    </format>
    <format dxfId="26">
      <pivotArea collapsedLevelsAreSubtotals="1" fieldPosition="0">
        <references count="2">
          <reference field="4294967294" count="1" selected="0">
            <x v="1"/>
          </reference>
          <reference field="5" count="1">
            <x v="2"/>
          </reference>
        </references>
      </pivotArea>
    </format>
    <format dxfId="25">
      <pivotArea collapsedLevelsAreSubtotals="1" fieldPosition="0">
        <references count="3">
          <reference field="4294967294" count="1" selected="0">
            <x v="1"/>
          </reference>
          <reference field="5" count="1" selected="0">
            <x v="2"/>
          </reference>
          <reference field="6" count="2">
            <x v="0"/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13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T_Esteira_Vol" cacheId="9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31">
  <location ref="A1:C4" firstHeaderRow="0" firstDataRow="1" firstDataCol="1"/>
  <pivotFields count="29">
    <pivotField showAll="0" defaultSubtotal="0"/>
    <pivotField dataField="1" showAll="0"/>
    <pivotField showAll="0"/>
    <pivotField showAll="0"/>
    <pivotField showAll="0"/>
    <pivotField showAll="0"/>
    <pivotField showAll="0">
      <items count="7">
        <item x="2"/>
        <item x="3"/>
        <item x="1"/>
        <item x="4"/>
        <item x="0"/>
        <item x="5"/>
        <item t="default"/>
      </items>
    </pivotField>
    <pivotField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5"/>
        <item x="10"/>
        <item x="9"/>
        <item x="2"/>
        <item x="8"/>
        <item x="5"/>
        <item x="11"/>
        <item x="13"/>
        <item x="12"/>
        <item x="18"/>
        <item x="17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  <pivotField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 sortType="descending"/>
    <pivotField dataField="1"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Volume" fld="1" subtotal="count" baseField="8" baseItem="0"/>
    <dataField name="Atendimento SLA" fld="16" subtotal="average" baseField="8" baseItem="0"/>
  </dataFields>
  <formats count="1">
    <format dxfId="17">
      <pivotArea collapsedLevelsAreSubtotals="1" fieldPosition="0">
        <references count="2">
          <reference field="4294967294" count="1" selected="0">
            <x v="1"/>
          </reference>
          <reference field="8" count="0"/>
        </references>
      </pivotArea>
    </format>
  </formats>
  <chartFormats count="7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T_Esteira_Vol" cacheId="9" applyNumberFormats="0" applyBorderFormats="0" applyFontFormats="0" applyPatternFormats="0" applyAlignmentFormats="0" applyWidthHeightFormats="1" dataCaption="Valores" updatedVersion="5" minRefreshableVersion="5" useAutoFormatting="1" itemPrintTitles="1" createdVersion="5" indent="0" outline="1" outlineData="1" multipleFieldFilters="0" chartFormat="36">
  <location ref="A1:C11" firstHeaderRow="0" firstDataRow="1" firstDataCol="1"/>
  <pivotFields count="29">
    <pivotField showAll="0" defaultSubtotal="0"/>
    <pivotField dataField="1" showAll="0"/>
    <pivotField showAll="0"/>
    <pivotField showAll="0"/>
    <pivotField showAll="0"/>
    <pivotField showAll="0"/>
    <pivotField showAll="0">
      <items count="7">
        <item x="2"/>
        <item x="3"/>
        <item x="1"/>
        <item x="4"/>
        <item x="0"/>
        <item x="5"/>
        <item t="default"/>
      </items>
    </pivotField>
    <pivotField showAll="0">
      <items count="22">
        <item m="1" x="20"/>
        <item x="14"/>
        <item x="4"/>
        <item x="7"/>
        <item x="3"/>
        <item x="16"/>
        <item x="0"/>
        <item x="19"/>
        <item x="6"/>
        <item x="1"/>
        <item x="15"/>
        <item x="10"/>
        <item x="9"/>
        <item x="2"/>
        <item x="8"/>
        <item x="5"/>
        <item x="11"/>
        <item x="13"/>
        <item x="12"/>
        <item x="18"/>
        <item x="17"/>
        <item t="default"/>
      </items>
    </pivotField>
    <pivotField showAll="0">
      <items count="3">
        <item x="1"/>
        <item x="0"/>
        <item t="default"/>
      </items>
    </pivotField>
    <pivotField showAll="0">
      <items count="6">
        <item x="3"/>
        <item x="1"/>
        <item x="2"/>
        <item x="0"/>
        <item x="4"/>
        <item t="default"/>
      </items>
    </pivotField>
    <pivotField axis="axisRow" numFmtId="1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 sortType="descending"/>
    <pivotField dataField="1"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</pivotFields>
  <rowFields count="1">
    <field x="1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Volume" fld="1" subtotal="count" baseField="10" baseItem="1"/>
    <dataField name="Atendimento SLA" fld="16" subtotal="average" baseField="10" baseItem="1" numFmtId="9"/>
  </dataFields>
  <formats count="1">
    <format dxfId="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7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egmento2" sourceName="Segmento">
  <pivotTables>
    <pivotTable tabId="10" name="PT_TipoGar_Vol"/>
    <pivotTable tabId="19" name="PT_Esteira_Vol"/>
    <pivotTable tabId="20" name="PT_Esteira_Vol"/>
    <pivotTable tabId="21" name="PT_Esteira_Vol"/>
    <pivotTable tabId="19" name="PT_Fluxo_Vol"/>
  </pivotTables>
  <data>
    <tabular pivotCacheId="2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ipo_de_Garantia1" sourceName="Tipo de Garantia">
  <pivotTables>
    <pivotTable tabId="10" name="PT_TipoGar_Vol"/>
    <pivotTable tabId="19" name="PT_Esteira_Vol"/>
    <pivotTable tabId="20" name="PT_Esteira_Vol"/>
    <pivotTable tabId="21" name="PT_Esteira_Vol"/>
    <pivotTable tabId="19" name="PT_Fluxo_Vol"/>
  </pivotTables>
  <data>
    <tabular pivotCacheId="2">
      <items count="5">
        <i x="3" s="1"/>
        <i x="1" s="1"/>
        <i x="2" s="1"/>
        <i x="0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luxo2" sourceName="Fluxo">
  <data>
    <tabular pivotCacheId="1">
      <items count="21">
        <i x="20" s="1"/>
        <i x="14" s="1"/>
        <i x="4" s="1"/>
        <i x="7" s="1"/>
        <i x="3" s="1"/>
        <i x="16" s="1"/>
        <i x="0" s="1"/>
        <i x="19" s="1"/>
        <i x="6" s="1"/>
        <i x="1" s="1"/>
        <i x="15" s="1"/>
        <i x="10" s="1"/>
        <i x="9" s="1"/>
        <i x="2" s="1"/>
        <i x="8" s="1"/>
        <i x="5" s="1"/>
        <i x="11" s="1"/>
        <i x="13" s="1"/>
        <i x="12" s="1"/>
        <i x="18" s="1"/>
        <i x="1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egmento3" sourceName="Segmento">
  <data>
    <tabular pivotCacheId="1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ipo_de_Garantia2" sourceName="Tipo de Garantia">
  <data>
    <tabular pivotCacheId="1">
      <items count="5">
        <i x="3" s="1"/>
        <i x="1" s="1"/>
        <i x="2" s="1"/>
        <i x="0" s="1"/>
        <i x="4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steira2" sourceName="Esteira">
  <data>
    <tabular pivotCacheId="1">
      <items count="6">
        <i x="2" s="1"/>
        <i x="3" s="1"/>
        <i x="1" s="1"/>
        <i x="4" s="1"/>
        <i x="0" s="1"/>
        <i x="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steira3" sourceName="Esteira">
  <pivotTables>
    <pivotTable tabId="17" name="Tabela dinâmica2"/>
  </pivotTables>
  <data>
    <tabular pivotCacheId="1">
      <items count="6">
        <i x="2" s="1"/>
        <i x="3" s="1"/>
        <i x="1" s="1"/>
        <i x="4" s="1"/>
        <i x="0" s="1"/>
        <i x="5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luxo3" sourceName="Fluxo">
  <pivotTables>
    <pivotTable tabId="17" name="Tabela dinâmica2"/>
  </pivotTables>
  <data>
    <tabular pivotCacheId="1">
      <items count="21">
        <i x="14" s="1"/>
        <i x="4" s="1"/>
        <i x="7" s="1"/>
        <i x="3" s="1"/>
        <i x="16" s="1"/>
        <i x="0" s="1"/>
        <i x="19" s="1"/>
        <i x="6" s="1"/>
        <i x="1" s="1"/>
        <i x="15" s="1"/>
        <i x="10" s="1"/>
        <i x="9" s="1"/>
        <i x="2" s="1"/>
        <i x="8" s="1"/>
        <i x="5" s="1"/>
        <i x="11" s="1"/>
        <i x="13" s="1"/>
        <i x="12" s="1"/>
        <i x="18" s="1"/>
        <i x="17" s="1"/>
        <i x="2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egmento4" sourceName="Segmento">
  <pivotTables>
    <pivotTable tabId="17" name="Tabela dinâmica2"/>
  </pivotTables>
  <data>
    <tabular pivotCacheId="1">
      <items count="2">
        <i x="1" s="1"/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steira" sourceName="Esteira">
  <pivotTables>
    <pivotTable tabId="19" name="PT_Esteira_Vol"/>
    <pivotTable tabId="20" name="PT_Esteira_Vol"/>
    <pivotTable tabId="21" name="PT_Esteira_Vol"/>
    <pivotTable tabId="10" name="PT_TipoGar_Vol"/>
    <pivotTable tabId="19" name="PT_Fluxo_Vol"/>
  </pivotTables>
  <data>
    <tabular pivotCacheId="2">
      <items count="6">
        <i x="2" s="1"/>
        <i x="3" s="1"/>
        <i x="1" s="1"/>
        <i x="4" s="1"/>
        <i x="0" s="1"/>
        <i x="5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luxo" sourceName="Fluxo">
  <pivotTables>
    <pivotTable tabId="19" name="PT_Esteira_Vol"/>
    <pivotTable tabId="20" name="PT_Esteira_Vol"/>
    <pivotTable tabId="21" name="PT_Esteira_Vol"/>
    <pivotTable tabId="10" name="PT_TipoGar_Vol"/>
    <pivotTable tabId="19" name="PT_Fluxo_Vol"/>
  </pivotTables>
  <data>
    <tabular pivotCacheId="2">
      <items count="21">
        <i x="14" s="1"/>
        <i x="4" s="1"/>
        <i x="7" s="1"/>
        <i x="3" s="1"/>
        <i x="16" s="1"/>
        <i x="0" s="1"/>
        <i x="19" s="1"/>
        <i x="6" s="1"/>
        <i x="1" s="1"/>
        <i x="15" s="1"/>
        <i x="10" s="1"/>
        <i x="9" s="1"/>
        <i x="2" s="1"/>
        <i x="8" s="1"/>
        <i x="5" s="1"/>
        <i x="11" s="1"/>
        <i x="13" s="1"/>
        <i x="12" s="1"/>
        <i x="18" s="1"/>
        <i x="17" s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luxo1" sourceName="Fluxo">
  <pivotTables>
    <pivotTable tabId="24" name="PT_Liberações"/>
  </pivotTables>
  <data>
    <tabular pivotCacheId="1">
      <items count="21">
        <i x="14" s="1"/>
        <i x="9" s="1"/>
        <i x="2" s="1"/>
        <i x="8" s="1"/>
        <i x="20" s="1" nd="1"/>
        <i x="4" s="1" nd="1"/>
        <i x="7" s="1" nd="1"/>
        <i x="3" s="1" nd="1"/>
        <i x="16" s="1" nd="1"/>
        <i x="0" s="1" nd="1"/>
        <i x="19" s="1" nd="1"/>
        <i x="6" s="1" nd="1"/>
        <i x="1" s="1" nd="1"/>
        <i x="15" s="1" nd="1"/>
        <i x="10" s="1" nd="1"/>
        <i x="5" s="1" nd="1"/>
        <i x="11" s="1" nd="1"/>
        <i x="13" s="1" nd="1"/>
        <i x="12" s="1" nd="1"/>
        <i x="18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luxo 4" cache="SegmentaçãodeDados_Fluxo1" caption="Tipo de Liberação" style="SlicerStyleLight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o" cache="SegmentaçãodeDados_Segmento2" caption="Segmento" style="SlicerStyleDark4" rowHeight="241300"/>
  <slicer name="Tipo de Garantia" cache="SegmentaçãodeDados_Tipo_de_Garantia1" caption="Tipo de Garantia" style="SlicerStyleDark1" rowHeight="241300"/>
  <slicer name="Esteira" cache="SegmentaçãodeDados_Esteira" caption="Esteira" style="SlicerStyleDark2" rowHeight="241300"/>
  <slicer name="Fluxo 1" cache="SegmentaçãodeDados_Fluxo" caption="Fluxo" columnCount="3" rowHeight="241300"/>
  <slicer name="Fluxo" cache="SegmentaçãodeDados_Fluxo" caption="Fluxo" columnCount="2" style="SlicerStyleLight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o 2" cache="SegmentaçãodeDados_Segmento2" caption="Segmento" style="SlicerStyleDark6" rowHeight="241300"/>
  <slicer name="Tipo de Garantia 1" cache="SegmentaçãodeDados_Tipo_de_Garantia1" caption="Tipo de Garantia" style="SlicerStyleLight4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ipo de Garantia 4" cache="SegmentaçãodeDados_Tipo_de_Garantia2" caption="Tipo de Garantia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luxo 5" cache="SegmentaçãodeDados_Fluxo2" caption="Fluxo" rowHeight="241300"/>
  <slicer name="Segmento 6" cache="SegmentaçãodeDados_Segmento3" caption="Segmento" rowHeight="241300"/>
  <slicer name="Tipo de Garantia 5" cache="SegmentaçãodeDados_Tipo_de_Garantia2" caption="Tipo de Garantia" rowHeight="241300"/>
  <slicer name="Esteira 5" cache="SegmentaçãodeDados_Esteira2" caption="Esteira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luxo 2" cache="SegmentaçãodeDados_Fluxo2" caption="Fluxo" rowHeight="241300"/>
  <slicer name="Segmento 3" cache="SegmentaçãodeDados_Segmento3" caption="Segmento" rowHeight="241300"/>
  <slicer name="Tipo de Garantia 2" cache="SegmentaçãodeDados_Tipo_de_Garantia2" caption="Tipo de Garantia" rowHeight="241300"/>
  <slicer name="Esteira 2" cache="SegmentaçãodeDados_Esteira2" caption="Esteira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luxo 3" cache="SegmentaçãodeDados_Fluxo2" caption="Fluxo" rowHeight="241300"/>
  <slicer name="Segmento 4" cache="SegmentaçãodeDados_Segmento3" caption="Segmento" rowHeight="241300"/>
  <slicer name="Tipo de Garantia 3" cache="SegmentaçãodeDados_Tipo_de_Garantia2" caption="Tipo de Garantia" rowHeight="241300"/>
  <slicer name="Esteira 3" cache="SegmentaçãodeDados_Esteira2" caption="Esteira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luxo 6" cache="SegmentaçãodeDados_Fluxo2" caption="Fluxo" rowHeight="241300"/>
  <slicer name="Segmento 7" cache="SegmentaçãodeDados_Segmento3" caption="Segmento" rowHeight="241300"/>
  <slicer name="Tipo de Garantia 6" cache="SegmentaçãodeDados_Tipo_de_Garantia2" caption="Tipo de Garantia" rowHeight="241300"/>
  <slicer name="Esteira 6" cache="SegmentaçãodeDados_Esteira2" caption="Esteira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teira 7" cache="SegmentaçãodeDados_Esteira3" caption="Esteira" rowHeight="241300"/>
  <slicer name="Fluxo 7" cache="SegmentaçãodeDados_Fluxo3" caption="Fluxo" rowHeight="241300"/>
  <slicer name="Segmento 8" cache="SegmentaçãodeDados_Segmento4" caption="Segment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o 1" cache="SegmentaçãodeDados_Segmento2" caption="Segmento" style="SlicerStyleDark4" rowHeight="241300"/>
  <slicer name="Tipo de Garantia 7" cache="SegmentaçãodeDados_Tipo_de_Garantia1" caption="Tipo de Garantia" style="SlicerStyleDark1" rowHeight="241300"/>
  <slicer name="Esteira 1" cache="SegmentaçãodeDados_Esteira" caption="Esteira" style="SlicerStyleDark2" rowHeight="241300"/>
  <slicer name="Fluxo 8" cache="SegmentaçãodeDados_Fluxo" caption="Fluxo" columnCount="2" style="SlicerStyleLight2" rowHeight="241300"/>
  <slicer name="Fluxo 9" cache="SegmentaçãodeDados_Fluxo" caption="Fluxo" columnCount="3" rowHeight="241300"/>
</slicers>
</file>

<file path=xl/slicers/slicer1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o 5" cache="SegmentaçãodeDados_Segmento2" caption="Segmento" style="SlicerStyleDark4" rowHeight="241300"/>
  <slicer name="Tipo de Garantia 8" cache="SegmentaçãodeDados_Tipo_de_Garantia1" caption="Tipo de Garantia" style="SlicerStyleDark1" rowHeight="241300"/>
  <slicer name="Esteira 4" cache="SegmentaçãodeDados_Esteira" caption="Esteira" style="SlicerStyleDark2" rowHeight="241300"/>
  <slicer name="Fluxo 10" cache="SegmentaçãodeDados_Fluxo" caption="Fluxo" columnCount="2" style="SlicerStyleLight2" rowHeight="241300"/>
</slicers>
</file>

<file path=xl/slicers/slicer1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o 9" cache="SegmentaçãodeDados_Segmento2" caption="Segmento" style="SlicerStyleDark4" rowHeight="241300"/>
  <slicer name="Tipo de Garantia 9" cache="SegmentaçãodeDados_Tipo_de_Garantia1" caption="Tipo de Garantia" style="SlicerStyleDark1" rowHeight="241300"/>
  <slicer name="Esteira 8" cache="SegmentaçãodeDados_Esteira" caption="Esteira" style="SlicerStyleDark2" rowHeight="241300"/>
  <slicer name="Fluxo 12" cache="SegmentaçãodeDados_Fluxo" caption="Fluxo" columnCount="2" style="SlicerStyleLight2" rowHeight="241300"/>
</slicers>
</file>

<file path=xl/slicers/slicer1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o 10" cache="SegmentaçãodeDados_Segmento2" caption="Segmento" style="SlicerStyleDark4" rowHeight="241300"/>
  <slicer name="Tipo de Garantia 10" cache="SegmentaçãodeDados_Tipo_de_Garantia1" caption="Tipo de Garantia" style="SlicerStyleDark1" rowHeight="241300"/>
  <slicer name="Esteira 9" cache="SegmentaçãodeDados_Esteira" caption="Esteira" style="SlicerStyleDark2" rowHeight="241300"/>
  <slicer name="Fluxo 14" cache="SegmentaçãodeDados_Fluxo" caption="Fluxo" columnCount="2" style="SlicerStyleLight2" rowHeight="241300"/>
</slicers>
</file>

<file path=xl/tables/table1.xml><?xml version="1.0" encoding="utf-8"?>
<table xmlns="http://schemas.openxmlformats.org/spreadsheetml/2006/main" id="1" name="Tabela1" displayName="Tabela1" ref="A1:AD43" totalsRowShown="0">
  <autoFilter ref="A1:AD43"/>
  <tableColumns count="30">
    <tableColumn id="27" name="Qtd"/>
    <tableColumn id="1" name="ID Chamado"/>
    <tableColumn id="2" name="ID Fluxo"/>
    <tableColumn id="3" name="Concluído"/>
    <tableColumn id="28" name="Status"/>
    <tableColumn id="4" name="ANALISTA"/>
    <tableColumn id="26" name="Coordenação" dataDxfId="15">
      <calculatedColumnFormula>VLOOKUP(Tabela1[[#This Row],[Esteira]],Tabela2[],2,FALSE)</calculatedColumnFormula>
    </tableColumn>
    <tableColumn id="5" name="Esteira">
      <calculatedColumnFormula>VLOOKUP($C2,Apoio!$A$2:$C$25,2)</calculatedColumnFormula>
    </tableColumn>
    <tableColumn id="6" name="Fluxo">
      <calculatedColumnFormula>VLOOKUP($C2,Apoio!$A$2:$C$25,3)</calculatedColumnFormula>
    </tableColumn>
    <tableColumn id="7" name="Segmento"/>
    <tableColumn id="8" name="Tipo de Garantia"/>
    <tableColumn id="9" name="Data de Abertura"/>
    <tableColumn id="10" name="Tempo Total de Atuação"/>
    <tableColumn id="11" name="Horário de Conclusão"/>
    <tableColumn id="12" name="Prazo SLA"/>
    <tableColumn id="13" name="Meta"/>
    <tableColumn id="14" name="Atraso"/>
    <tableColumn id="30" name="Atraso %" dataDxfId="14">
      <calculatedColumnFormula>IF(Tabela1[[#This Row],[Atraso]]="No Prazo",1,0)</calculatedColumnFormula>
    </tableColumn>
    <tableColumn id="29" name="Mês" dataDxfId="13">
      <calculatedColumnFormula>MONTH(Tabela1[[#This Row],[Data de Abertura]])</calculatedColumnFormula>
    </tableColumn>
    <tableColumn id="15" name="Quantidade"/>
    <tableColumn id="16" name="Valor Liberado" dataDxfId="12"/>
    <tableColumn id="17" name="TEG"/>
    <tableColumn id="18" name="Particularidades"/>
    <tableColumn id="19" name="Origem da Solicitação"/>
    <tableColumn id="20" name="Tipo de Consulta"/>
    <tableColumn id="21" name="Campo Específico 6"/>
    <tableColumn id="22" name="Campo Específico 7"/>
    <tableColumn id="23" name="Campo Específico 8"/>
    <tableColumn id="24" name="Campo Específico 9"/>
    <tableColumn id="25" name="Campo Específico 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L1:M7" totalsRowShown="0">
  <autoFilter ref="L1:M7"/>
  <tableColumns count="2">
    <tableColumn id="1" name="Esteira"/>
    <tableColumn id="2" name="Coorden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Data_de_Abertura2" sourceName="Data de Abertura">
  <pivotTables>
    <pivotTable tabId="10" name="PT_TipoGar_Vol"/>
    <pivotTable tabId="19" name="PT_Esteira_Vol"/>
    <pivotTable tabId="20" name="PT_Esteira_Vol"/>
    <pivotTable tabId="21" name="PT_Esteira_Vol"/>
    <pivotTable tabId="19" name="PT_Fluxo_Vol"/>
  </pivotTables>
  <state minimalRefreshVersion="6" lastRefreshVersion="6" pivotCacheId="2" filterType="unknown">
    <bounds startDate="1899-12-31T00:02:04" endDate="1901-01-01T00:02:04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Data_de_Abertura3" sourceName="Data de Abertura">
  <pivotTables>
    <pivotTable tabId="17" name="Tabela dinâmica2"/>
  </pivotTables>
  <state minimalRefreshVersion="6" lastRefreshVersion="6" pivotCacheId="1" filterType="unknown">
    <bounds startDate="1899-12-31T00:02:04" endDate="1901-01-01T00:02:04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Data_de_Abertura" sourceName="Data de Abertura">
  <pivotTables>
    <pivotTable tabId="25" name="PT_Origem_Solicitação"/>
    <pivotTable tabId="25" name="PT_Particularidades"/>
    <pivotTable tabId="25" name="PT_TEG"/>
    <pivotTable tabId="24" name="PT_Liberações"/>
    <pivotTable tabId="24" name="PT_NovasOps"/>
  </pivotTables>
  <state minimalRefreshVersion="6" lastRefreshVersion="6" pivotCacheId="1" filterType="dateBetween">
    <selection startDate="1899-12-31T00:00:00" endDate="1900-12-31T00:00:00"/>
    <bounds startDate="1899-12-31T00:02:04" endDate="1901-01-01T00:02:0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1" cache="NativeTimeline_Data_de_Abertura" caption="Período da Análise" showHeader="0" level="2" selectionLevel="0" scrollPosition="1899-12-3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" cache="NativeTimeline_Data_de_Abertura2" caption="Data de Abertura" level="2" selectionLevel="2" scrollPosition="1900-02-03T00:00:00" style="TimeSlicerStyleDark6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2" cache="NativeTimeline_Data_de_Abertura2" caption="Data de Abertura" level="2" selectionLevel="2" scrollPosition="1900-05-19T00:00:00" style="TimeSlicerStyleDark4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3" cache="NativeTimeline_Data_de_Abertura3" caption="Data de Abertura" level="2" selectionLevel="2" scrollPosition="1900-05-19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4" cache="NativeTimeline_Data_de_Abertura2" caption="Data de Abertura" level="1" selectionLevel="1" scrollPosition="1899-12-31T00:00:00" style="TimeSlicerStyleDark6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5" cache="NativeTimeline_Data_de_Abertura2" caption="Data de Abertura" level="1" selectionLevel="1" scrollPosition="1899-12-31T00:00:00" style="TimeSlicerStyleDark6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6" cache="NativeTimeline_Data_de_Abertura2" caption="Data de Abertura" level="1" selectionLevel="1" scrollPosition="1899-12-31T00:00:00" style="TimeSlicerStyleDark6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 de Abertura 7" cache="NativeTimeline_Data_de_Abertura2" caption="Data de Abertura" level="1" selectionLevel="1" scrollPosition="1899-12-31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3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6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7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microsoft.com/office/2007/relationships/slicer" Target="../slicers/slicer8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9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7.xml"/><Relationship Id="rId4" Type="http://schemas.microsoft.com/office/2011/relationships/timeline" Target="../timelines/timeline4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1/relationships/timeline" Target="../timelines/timeline5.xml"/><Relationship Id="rId2" Type="http://schemas.microsoft.com/office/2007/relationships/slicer" Target="../slicers/slicer10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1/relationships/timeline" Target="../timelines/timeline6.xml"/><Relationship Id="rId2" Type="http://schemas.microsoft.com/office/2007/relationships/slicer" Target="../slicers/slicer11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1/relationships/timeline" Target="../timelines/timeline7.xml"/><Relationship Id="rId2" Type="http://schemas.microsoft.com/office/2007/relationships/slicer" Target="../slicers/slicer12.x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1/relationships/timeline" Target="../timelines/timeline8.xml"/><Relationship Id="rId2" Type="http://schemas.microsoft.com/office/2007/relationships/slicer" Target="../slicers/slicer13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GridLines="0" workbookViewId="0">
      <selection activeCell="H8" sqref="H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E14"/>
  <sheetViews>
    <sheetView showGridLines="0" workbookViewId="0">
      <selection activeCell="I5" sqref="I5"/>
    </sheetView>
  </sheetViews>
  <sheetFormatPr defaultRowHeight="15" x14ac:dyDescent="0.25"/>
  <cols>
    <col min="4" max="4" width="15.5703125" bestFit="1" customWidth="1"/>
  </cols>
  <sheetData>
    <row r="6" spans="4:5" ht="16.5" x14ac:dyDescent="0.3">
      <c r="D6" s="38" t="s">
        <v>184</v>
      </c>
      <c r="E6" s="39">
        <v>200</v>
      </c>
    </row>
    <row r="7" spans="4:5" ht="15.75" x14ac:dyDescent="0.3">
      <c r="D7" s="32" t="s">
        <v>129</v>
      </c>
      <c r="E7" s="33">
        <v>180</v>
      </c>
    </row>
    <row r="8" spans="4:5" ht="15.75" x14ac:dyDescent="0.3">
      <c r="D8" s="32" t="s">
        <v>130</v>
      </c>
      <c r="E8" s="33">
        <v>20</v>
      </c>
    </row>
    <row r="9" spans="4:5" ht="16.5" x14ac:dyDescent="0.3">
      <c r="D9" s="40" t="s">
        <v>185</v>
      </c>
      <c r="E9" s="35">
        <v>20</v>
      </c>
    </row>
    <row r="10" spans="4:5" ht="15.75" x14ac:dyDescent="0.3">
      <c r="D10" s="32" t="s">
        <v>186</v>
      </c>
      <c r="E10" s="33">
        <v>10</v>
      </c>
    </row>
    <row r="11" spans="4:5" ht="15.75" x14ac:dyDescent="0.3">
      <c r="D11" s="32" t="s">
        <v>187</v>
      </c>
      <c r="E11" s="33">
        <v>6</v>
      </c>
    </row>
    <row r="12" spans="4:5" ht="15.75" x14ac:dyDescent="0.3">
      <c r="D12" s="32" t="s">
        <v>188</v>
      </c>
      <c r="E12" s="33">
        <v>4</v>
      </c>
    </row>
    <row r="13" spans="4:5" ht="16.5" x14ac:dyDescent="0.3">
      <c r="D13" s="34" t="s">
        <v>189</v>
      </c>
      <c r="E13" s="35">
        <v>5</v>
      </c>
    </row>
    <row r="14" spans="4:5" ht="16.5" x14ac:dyDescent="0.3">
      <c r="D14" s="36" t="s">
        <v>190</v>
      </c>
      <c r="E14" s="37">
        <v>225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1:L21"/>
  <sheetViews>
    <sheetView showGridLines="0" topLeftCell="A7" zoomScale="90" zoomScaleNormal="90" workbookViewId="0">
      <selection activeCell="I10" sqref="I10"/>
    </sheetView>
  </sheetViews>
  <sheetFormatPr defaultRowHeight="15" x14ac:dyDescent="0.25"/>
  <cols>
    <col min="1" max="1" width="18.140625" customWidth="1"/>
    <col min="2" max="2" width="1.42578125" customWidth="1"/>
    <col min="3" max="3" width="25.42578125" hidden="1" customWidth="1"/>
    <col min="4" max="4" width="30.5703125" customWidth="1"/>
    <col min="5" max="5" width="19.5703125" bestFit="1" customWidth="1"/>
    <col min="6" max="6" width="12.28515625" customWidth="1"/>
    <col min="7" max="7" width="16.5703125" customWidth="1"/>
    <col min="8" max="8" width="0.7109375" customWidth="1"/>
    <col min="9" max="9" width="22.28515625" bestFit="1" customWidth="1"/>
    <col min="10" max="10" width="21" customWidth="1"/>
    <col min="11" max="11" width="17.7109375" customWidth="1"/>
    <col min="12" max="12" width="16.140625" bestFit="1" customWidth="1"/>
    <col min="13" max="13" width="10" customWidth="1"/>
    <col min="14" max="14" width="9.42578125" customWidth="1"/>
    <col min="15" max="15" width="20.85546875" customWidth="1"/>
    <col min="17" max="18" width="10.7109375" customWidth="1"/>
    <col min="21" max="21" width="3.5703125" customWidth="1"/>
  </cols>
  <sheetData>
    <row r="1" spans="2:12" ht="9.75" customHeight="1" x14ac:dyDescent="0.25">
      <c r="B1" s="31"/>
    </row>
    <row r="2" spans="2:12" ht="18.75" customHeight="1" x14ac:dyDescent="0.25"/>
    <row r="8" spans="2:12" ht="15.75" customHeight="1" x14ac:dyDescent="0.25"/>
    <row r="14" spans="2:12" hidden="1" x14ac:dyDescent="0.25">
      <c r="C14" s="26" t="s">
        <v>2</v>
      </c>
      <c r="D14" s="25" t="s">
        <v>176</v>
      </c>
      <c r="I14" s="3" t="s">
        <v>166</v>
      </c>
      <c r="J14" s="3" t="s">
        <v>22</v>
      </c>
    </row>
    <row r="15" spans="2:12" ht="18" x14ac:dyDescent="0.35">
      <c r="C15" s="27" t="s">
        <v>11</v>
      </c>
      <c r="D15" s="41">
        <v>2</v>
      </c>
      <c r="I15" s="29" t="s">
        <v>20</v>
      </c>
      <c r="J15" s="28" t="s">
        <v>18</v>
      </c>
      <c r="K15" s="28" t="s">
        <v>67</v>
      </c>
      <c r="L15" t="s">
        <v>21</v>
      </c>
    </row>
    <row r="16" spans="2:12" x14ac:dyDescent="0.25">
      <c r="I16" s="4" t="s">
        <v>124</v>
      </c>
      <c r="J16" s="30">
        <v>398091</v>
      </c>
      <c r="K16" s="30">
        <v>613253</v>
      </c>
      <c r="L16" s="30">
        <v>1011344</v>
      </c>
    </row>
    <row r="17" spans="9:12" x14ac:dyDescent="0.25">
      <c r="I17" s="4" t="s">
        <v>122</v>
      </c>
      <c r="J17" s="30"/>
      <c r="K17" s="30">
        <v>694751</v>
      </c>
      <c r="L17" s="30">
        <v>694751</v>
      </c>
    </row>
    <row r="18" spans="9:12" x14ac:dyDescent="0.25">
      <c r="I18" s="4" t="s">
        <v>123</v>
      </c>
      <c r="J18" s="30">
        <v>2494712</v>
      </c>
      <c r="K18" s="30"/>
      <c r="L18" s="30">
        <v>2494712</v>
      </c>
    </row>
    <row r="19" spans="9:12" x14ac:dyDescent="0.25">
      <c r="I19" s="4" t="s">
        <v>19</v>
      </c>
      <c r="J19" s="30">
        <v>1157056</v>
      </c>
      <c r="K19" s="30">
        <v>446849</v>
      </c>
      <c r="L19" s="30">
        <v>1603905</v>
      </c>
    </row>
    <row r="20" spans="9:12" x14ac:dyDescent="0.25">
      <c r="I20" s="4" t="s">
        <v>125</v>
      </c>
      <c r="J20" s="30"/>
      <c r="K20" s="30"/>
      <c r="L20" s="30"/>
    </row>
    <row r="21" spans="9:12" x14ac:dyDescent="0.25">
      <c r="I21" s="4" t="s">
        <v>21</v>
      </c>
      <c r="J21" s="30">
        <v>4049859</v>
      </c>
      <c r="K21" s="30">
        <v>1754853</v>
      </c>
      <c r="L21" s="30">
        <v>5804712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M5"/>
  <sheetViews>
    <sheetView workbookViewId="0">
      <selection activeCell="B7" sqref="B7"/>
    </sheetView>
  </sheetViews>
  <sheetFormatPr defaultRowHeight="15" x14ac:dyDescent="0.25"/>
  <cols>
    <col min="1" max="1" width="18" customWidth="1"/>
    <col min="2" max="2" width="16.7109375" customWidth="1"/>
    <col min="3" max="3" width="15.140625" customWidth="1"/>
    <col min="4" max="4" width="18" customWidth="1"/>
    <col min="5" max="5" width="28" bestFit="1" customWidth="1"/>
    <col min="7" max="7" width="18.85546875" customWidth="1"/>
    <col min="8" max="8" width="32.85546875" bestFit="1" customWidth="1"/>
    <col min="10" max="10" width="18" customWidth="1"/>
    <col min="11" max="11" width="28.42578125" bestFit="1" customWidth="1"/>
  </cols>
  <sheetData>
    <row r="1" spans="1:13" x14ac:dyDescent="0.25">
      <c r="A1" s="3" t="s">
        <v>20</v>
      </c>
      <c r="B1" t="s">
        <v>173</v>
      </c>
      <c r="D1" s="3" t="s">
        <v>20</v>
      </c>
      <c r="E1" t="s">
        <v>174</v>
      </c>
      <c r="G1" s="3" t="s">
        <v>20</v>
      </c>
      <c r="H1" t="s">
        <v>175</v>
      </c>
      <c r="J1" s="3" t="s">
        <v>20</v>
      </c>
      <c r="K1" t="s">
        <v>181</v>
      </c>
      <c r="M1" t="s">
        <v>182</v>
      </c>
    </row>
    <row r="2" spans="1:13" x14ac:dyDescent="0.25">
      <c r="A2" s="4" t="s">
        <v>163</v>
      </c>
      <c r="B2" s="11">
        <v>1</v>
      </c>
      <c r="D2" s="4" t="s">
        <v>165</v>
      </c>
      <c r="E2" s="11">
        <v>1</v>
      </c>
      <c r="G2" s="4" t="s">
        <v>172</v>
      </c>
      <c r="H2" s="11">
        <v>4</v>
      </c>
      <c r="J2" s="4" t="s">
        <v>179</v>
      </c>
      <c r="K2" s="11">
        <v>1</v>
      </c>
    </row>
    <row r="3" spans="1:13" x14ac:dyDescent="0.25">
      <c r="A3" s="4" t="s">
        <v>162</v>
      </c>
      <c r="B3" s="11">
        <v>1</v>
      </c>
      <c r="D3" s="4" t="s">
        <v>164</v>
      </c>
      <c r="E3" s="11">
        <v>1</v>
      </c>
      <c r="G3" s="4" t="s">
        <v>169</v>
      </c>
      <c r="H3" s="11">
        <v>2</v>
      </c>
      <c r="J3" s="4" t="s">
        <v>180</v>
      </c>
      <c r="K3" s="11">
        <v>2</v>
      </c>
    </row>
    <row r="4" spans="1:13" x14ac:dyDescent="0.25">
      <c r="A4" s="4" t="s">
        <v>21</v>
      </c>
      <c r="B4" s="11">
        <v>2</v>
      </c>
      <c r="D4" s="4" t="s">
        <v>21</v>
      </c>
      <c r="E4" s="11">
        <v>2</v>
      </c>
      <c r="G4" s="4" t="s">
        <v>168</v>
      </c>
      <c r="H4" s="11">
        <v>2</v>
      </c>
      <c r="J4" s="4" t="s">
        <v>21</v>
      </c>
      <c r="K4" s="11">
        <v>3</v>
      </c>
    </row>
    <row r="5" spans="1:13" x14ac:dyDescent="0.25">
      <c r="G5" s="4" t="s">
        <v>21</v>
      </c>
      <c r="H5" s="11">
        <v>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L3:L4"/>
  <sheetViews>
    <sheetView showGridLines="0" zoomScale="90" zoomScaleNormal="90" workbookViewId="0">
      <selection activeCell="M1" sqref="M1"/>
    </sheetView>
  </sheetViews>
  <sheetFormatPr defaultRowHeight="15" x14ac:dyDescent="0.25"/>
  <sheetData>
    <row r="3" spans="12:12" ht="3" customHeight="1" x14ac:dyDescent="0.25">
      <c r="L3" t="s">
        <v>183</v>
      </c>
    </row>
    <row r="4" spans="12:12" ht="5.25" customHeigh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23:C23"/>
  <sheetViews>
    <sheetView showGridLines="0" workbookViewId="0">
      <selection activeCell="P23" sqref="P23"/>
    </sheetView>
  </sheetViews>
  <sheetFormatPr defaultRowHeight="15" x14ac:dyDescent="0.25"/>
  <sheetData>
    <row r="23" spans="2:3" ht="18.75" x14ac:dyDescent="0.3">
      <c r="B23" s="21" t="s">
        <v>136</v>
      </c>
      <c r="C23" s="22"/>
    </row>
  </sheetData>
  <dataValidations count="1">
    <dataValidation type="list" allowBlank="1" showInputMessage="1" showErrorMessage="1" sqref="B23">
      <formula1>"Coord 1,Coord 2,Coord 3"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2:O8"/>
  <sheetViews>
    <sheetView showGridLines="0" workbookViewId="0">
      <selection activeCell="N1" sqref="N1"/>
    </sheetView>
  </sheetViews>
  <sheetFormatPr defaultRowHeight="15" x14ac:dyDescent="0.25"/>
  <cols>
    <col min="14" max="14" width="17.140625" customWidth="1"/>
    <col min="15" max="15" width="17.5703125" bestFit="1" customWidth="1"/>
  </cols>
  <sheetData>
    <row r="2" spans="2:15" ht="21" x14ac:dyDescent="0.35">
      <c r="B2" s="14" t="s">
        <v>152</v>
      </c>
    </row>
    <row r="4" spans="2:15" x14ac:dyDescent="0.25">
      <c r="N4" t="s">
        <v>144</v>
      </c>
      <c r="O4" s="15">
        <v>22123</v>
      </c>
    </row>
    <row r="5" spans="2:15" x14ac:dyDescent="0.25">
      <c r="N5" t="s">
        <v>139</v>
      </c>
      <c r="O5" s="16">
        <v>120123201</v>
      </c>
    </row>
    <row r="6" spans="2:15" x14ac:dyDescent="0.25">
      <c r="N6" s="18" t="s">
        <v>141</v>
      </c>
      <c r="O6" s="17">
        <v>12345512</v>
      </c>
    </row>
    <row r="7" spans="2:15" x14ac:dyDescent="0.25">
      <c r="N7" s="18" t="s">
        <v>142</v>
      </c>
      <c r="O7" s="17">
        <v>233124</v>
      </c>
    </row>
    <row r="8" spans="2:15" x14ac:dyDescent="0.25">
      <c r="N8" s="18" t="s">
        <v>143</v>
      </c>
      <c r="O8" s="17">
        <f>O5-O7-O6</f>
        <v>107544565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O8"/>
  <sheetViews>
    <sheetView showGridLines="0" workbookViewId="0">
      <selection activeCell="F1" sqref="F1:F2"/>
    </sheetView>
  </sheetViews>
  <sheetFormatPr defaultRowHeight="15" x14ac:dyDescent="0.25"/>
  <cols>
    <col min="14" max="14" width="17.140625" customWidth="1"/>
    <col min="15" max="15" width="17.5703125" bestFit="1" customWidth="1"/>
  </cols>
  <sheetData>
    <row r="2" spans="2:15" ht="21" x14ac:dyDescent="0.35">
      <c r="B2" s="14" t="s">
        <v>36</v>
      </c>
    </row>
    <row r="4" spans="2:15" x14ac:dyDescent="0.25">
      <c r="N4" t="s">
        <v>140</v>
      </c>
      <c r="O4" s="15">
        <v>22123</v>
      </c>
    </row>
    <row r="5" spans="2:15" x14ac:dyDescent="0.25">
      <c r="N5" t="s">
        <v>139</v>
      </c>
      <c r="O5" s="16">
        <v>120123201</v>
      </c>
    </row>
    <row r="6" spans="2:15" x14ac:dyDescent="0.25">
      <c r="N6" s="18" t="s">
        <v>141</v>
      </c>
      <c r="O6" s="17">
        <v>12345512</v>
      </c>
    </row>
    <row r="7" spans="2:15" x14ac:dyDescent="0.25">
      <c r="N7" s="18" t="s">
        <v>142</v>
      </c>
      <c r="O7" s="17">
        <v>233124</v>
      </c>
    </row>
    <row r="8" spans="2:15" x14ac:dyDescent="0.25">
      <c r="N8" s="18" t="s">
        <v>143</v>
      </c>
      <c r="O8" s="17">
        <f>O5-O7-O6</f>
        <v>107544565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O8"/>
  <sheetViews>
    <sheetView showGridLines="0" workbookViewId="0">
      <selection activeCell="F1" sqref="F1:F2"/>
    </sheetView>
  </sheetViews>
  <sheetFormatPr defaultRowHeight="15" x14ac:dyDescent="0.25"/>
  <cols>
    <col min="14" max="14" width="17.140625" customWidth="1"/>
    <col min="15" max="15" width="17.5703125" bestFit="1" customWidth="1"/>
  </cols>
  <sheetData>
    <row r="2" spans="2:15" ht="21" x14ac:dyDescent="0.35">
      <c r="B2" s="14" t="s">
        <v>36</v>
      </c>
    </row>
    <row r="4" spans="2:15" x14ac:dyDescent="0.25">
      <c r="N4" t="s">
        <v>140</v>
      </c>
      <c r="O4" s="15">
        <v>22123</v>
      </c>
    </row>
    <row r="5" spans="2:15" x14ac:dyDescent="0.25">
      <c r="N5" t="s">
        <v>139</v>
      </c>
      <c r="O5" s="16">
        <v>120123201</v>
      </c>
    </row>
    <row r="6" spans="2:15" x14ac:dyDescent="0.25">
      <c r="N6" s="18" t="s">
        <v>141</v>
      </c>
      <c r="O6" s="17">
        <v>12345512</v>
      </c>
    </row>
    <row r="7" spans="2:15" x14ac:dyDescent="0.25">
      <c r="N7" s="18" t="s">
        <v>142</v>
      </c>
      <c r="O7" s="17">
        <v>233124</v>
      </c>
    </row>
    <row r="8" spans="2:15" x14ac:dyDescent="0.25">
      <c r="N8" s="18" t="s">
        <v>143</v>
      </c>
      <c r="O8" s="17">
        <f>O5-O7-O6</f>
        <v>107544565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O8"/>
  <sheetViews>
    <sheetView showGridLines="0" workbookViewId="0">
      <selection activeCell="F1" sqref="F1:F2"/>
    </sheetView>
  </sheetViews>
  <sheetFormatPr defaultRowHeight="15" x14ac:dyDescent="0.25"/>
  <cols>
    <col min="14" max="14" width="17.140625" customWidth="1"/>
    <col min="15" max="15" width="17.5703125" bestFit="1" customWidth="1"/>
  </cols>
  <sheetData>
    <row r="2" spans="2:15" ht="21" x14ac:dyDescent="0.35">
      <c r="B2" s="14" t="s">
        <v>36</v>
      </c>
    </row>
    <row r="4" spans="2:15" x14ac:dyDescent="0.25">
      <c r="N4" t="s">
        <v>140</v>
      </c>
      <c r="O4" s="15">
        <v>22123</v>
      </c>
    </row>
    <row r="5" spans="2:15" x14ac:dyDescent="0.25">
      <c r="N5" t="s">
        <v>139</v>
      </c>
      <c r="O5" s="16">
        <v>120123201</v>
      </c>
    </row>
    <row r="6" spans="2:15" x14ac:dyDescent="0.25">
      <c r="N6" s="18" t="s">
        <v>141</v>
      </c>
      <c r="O6" s="17">
        <v>12345512</v>
      </c>
    </row>
    <row r="7" spans="2:15" x14ac:dyDescent="0.25">
      <c r="N7" s="18" t="s">
        <v>142</v>
      </c>
      <c r="O7" s="17">
        <v>233124</v>
      </c>
    </row>
    <row r="8" spans="2:15" x14ac:dyDescent="0.25">
      <c r="N8" s="18" t="s">
        <v>143</v>
      </c>
      <c r="O8" s="17">
        <f>O5-O7-O6</f>
        <v>107544565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O8"/>
  <sheetViews>
    <sheetView showGridLines="0" topLeftCell="A7" workbookViewId="0">
      <selection activeCell="F1" sqref="F1:F2"/>
    </sheetView>
  </sheetViews>
  <sheetFormatPr defaultRowHeight="15" x14ac:dyDescent="0.25"/>
  <cols>
    <col min="14" max="14" width="17.140625" customWidth="1"/>
    <col min="15" max="15" width="17.5703125" bestFit="1" customWidth="1"/>
  </cols>
  <sheetData>
    <row r="2" spans="2:15" ht="21" x14ac:dyDescent="0.35">
      <c r="B2" s="14" t="s">
        <v>36</v>
      </c>
    </row>
    <row r="4" spans="2:15" x14ac:dyDescent="0.25">
      <c r="N4" t="s">
        <v>140</v>
      </c>
      <c r="O4" s="15">
        <v>22123</v>
      </c>
    </row>
    <row r="5" spans="2:15" x14ac:dyDescent="0.25">
      <c r="N5" t="s">
        <v>139</v>
      </c>
      <c r="O5" s="16">
        <v>120123201</v>
      </c>
    </row>
    <row r="6" spans="2:15" x14ac:dyDescent="0.25">
      <c r="N6" s="18" t="s">
        <v>141</v>
      </c>
      <c r="O6" s="17">
        <v>12345512</v>
      </c>
    </row>
    <row r="7" spans="2:15" x14ac:dyDescent="0.25">
      <c r="N7" s="18" t="s">
        <v>142</v>
      </c>
      <c r="O7" s="17">
        <v>233124</v>
      </c>
    </row>
    <row r="8" spans="2:15" x14ac:dyDescent="0.25">
      <c r="N8" s="18" t="s">
        <v>143</v>
      </c>
      <c r="O8" s="17">
        <f>O5-O7-O6</f>
        <v>107544565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3:D11"/>
  <sheetViews>
    <sheetView workbookViewId="0">
      <selection activeCell="F1" sqref="F1:F2"/>
    </sheetView>
  </sheetViews>
  <sheetFormatPr defaultRowHeight="15" x14ac:dyDescent="0.25"/>
  <cols>
    <col min="1" max="1" width="19.140625" customWidth="1"/>
    <col min="2" max="2" width="19.5703125" bestFit="1" customWidth="1"/>
    <col min="3" max="3" width="8.85546875" customWidth="1"/>
    <col min="4" max="4" width="10.7109375" customWidth="1"/>
    <col min="5" max="5" width="12.85546875" bestFit="1" customWidth="1"/>
    <col min="6" max="6" width="8.85546875" customWidth="1"/>
    <col min="7" max="7" width="12.5703125" bestFit="1" customWidth="1"/>
    <col min="8" max="8" width="12.85546875" bestFit="1" customWidth="1"/>
    <col min="9" max="9" width="8.85546875" customWidth="1"/>
    <col min="10" max="10" width="8.28515625" customWidth="1"/>
    <col min="11" max="11" width="12.85546875" bestFit="1" customWidth="1"/>
    <col min="12" max="12" width="8.85546875" customWidth="1"/>
    <col min="13" max="13" width="15.140625" bestFit="1" customWidth="1"/>
    <col min="14" max="14" width="9.85546875" bestFit="1" customWidth="1"/>
    <col min="15" max="15" width="12.85546875" bestFit="1" customWidth="1"/>
    <col min="16" max="16" width="10.7109375" bestFit="1" customWidth="1"/>
  </cols>
  <sheetData>
    <row r="3" spans="1:4" x14ac:dyDescent="0.25">
      <c r="A3" s="3" t="s">
        <v>133</v>
      </c>
      <c r="B3" s="3" t="s">
        <v>22</v>
      </c>
    </row>
    <row r="4" spans="1:4" x14ac:dyDescent="0.25">
      <c r="A4" s="3" t="s">
        <v>20</v>
      </c>
      <c r="B4" t="s">
        <v>130</v>
      </c>
      <c r="C4" t="s">
        <v>129</v>
      </c>
      <c r="D4" t="s">
        <v>21</v>
      </c>
    </row>
    <row r="5" spans="1:4" x14ac:dyDescent="0.25">
      <c r="A5" s="4" t="s">
        <v>65</v>
      </c>
      <c r="B5" s="11">
        <v>1</v>
      </c>
      <c r="C5" s="11">
        <v>7</v>
      </c>
      <c r="D5" s="11">
        <v>8</v>
      </c>
    </row>
    <row r="6" spans="1:4" x14ac:dyDescent="0.25">
      <c r="A6" s="4" t="s">
        <v>35</v>
      </c>
      <c r="B6" s="11"/>
      <c r="C6" s="11">
        <v>1</v>
      </c>
      <c r="D6" s="11">
        <v>1</v>
      </c>
    </row>
    <row r="7" spans="1:4" x14ac:dyDescent="0.25">
      <c r="A7" s="4" t="s">
        <v>88</v>
      </c>
      <c r="B7" s="11">
        <v>1</v>
      </c>
      <c r="C7" s="11">
        <v>3</v>
      </c>
      <c r="D7" s="11">
        <v>4</v>
      </c>
    </row>
    <row r="8" spans="1:4" x14ac:dyDescent="0.25">
      <c r="A8" s="4" t="s">
        <v>10</v>
      </c>
      <c r="B8" s="11">
        <v>2</v>
      </c>
      <c r="C8" s="11">
        <v>5</v>
      </c>
      <c r="D8" s="11">
        <v>7</v>
      </c>
    </row>
    <row r="9" spans="1:4" x14ac:dyDescent="0.25">
      <c r="A9" s="4" t="s">
        <v>36</v>
      </c>
      <c r="B9" s="11">
        <v>1</v>
      </c>
      <c r="C9" s="11">
        <v>19</v>
      </c>
      <c r="D9" s="11">
        <v>20</v>
      </c>
    </row>
    <row r="10" spans="1:4" x14ac:dyDescent="0.25">
      <c r="A10" s="4" t="s">
        <v>91</v>
      </c>
      <c r="B10" s="11"/>
      <c r="C10" s="11">
        <v>2</v>
      </c>
      <c r="D10" s="11">
        <v>2</v>
      </c>
    </row>
    <row r="11" spans="1:4" x14ac:dyDescent="0.25">
      <c r="A11" s="4" t="s">
        <v>21</v>
      </c>
      <c r="B11" s="11">
        <v>5</v>
      </c>
      <c r="C11" s="11">
        <v>37</v>
      </c>
      <c r="D11" s="11">
        <v>42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L3:L4"/>
  <sheetViews>
    <sheetView showGridLines="0" zoomScale="90" zoomScaleNormal="90" workbookViewId="0">
      <selection activeCell="K1" sqref="K1"/>
    </sheetView>
  </sheetViews>
  <sheetFormatPr defaultRowHeight="15" x14ac:dyDescent="0.25"/>
  <sheetData>
    <row r="3" spans="12:12" ht="3" customHeight="1" x14ac:dyDescent="0.25">
      <c r="L3" t="s">
        <v>183</v>
      </c>
    </row>
    <row r="4" spans="12:12" ht="5.25" customHeigh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L3:L4"/>
  <sheetViews>
    <sheetView showGridLines="0" zoomScale="90" zoomScaleNormal="90" workbookViewId="0">
      <selection activeCell="K7" sqref="K7"/>
    </sheetView>
  </sheetViews>
  <sheetFormatPr defaultRowHeight="15" x14ac:dyDescent="0.25"/>
  <sheetData>
    <row r="3" spans="12:12" ht="3" customHeight="1" x14ac:dyDescent="0.25">
      <c r="L3" t="s">
        <v>183</v>
      </c>
    </row>
    <row r="4" spans="12:12" ht="5.25" customHeigh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L3:L4"/>
  <sheetViews>
    <sheetView showGridLines="0" zoomScale="90" zoomScaleNormal="90" workbookViewId="0">
      <selection activeCell="J4" sqref="J4"/>
    </sheetView>
  </sheetViews>
  <sheetFormatPr defaultRowHeight="15" x14ac:dyDescent="0.25"/>
  <sheetData>
    <row r="3" spans="12:12" ht="3" customHeight="1" x14ac:dyDescent="0.25">
      <c r="L3" t="s">
        <v>183</v>
      </c>
    </row>
    <row r="4" spans="12:12" ht="5.25" customHeigh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L3:L4"/>
  <sheetViews>
    <sheetView showGridLines="0" zoomScale="90" zoomScaleNormal="90" workbookViewId="0">
      <selection activeCell="L1" sqref="L1"/>
    </sheetView>
  </sheetViews>
  <sheetFormatPr defaultRowHeight="15" x14ac:dyDescent="0.25"/>
  <sheetData>
    <row r="3" spans="12:12" ht="3" customHeight="1" x14ac:dyDescent="0.25">
      <c r="L3" t="s">
        <v>183</v>
      </c>
    </row>
    <row r="4" spans="12:12" ht="5.25" customHeight="1" x14ac:dyDescent="0.25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F7"/>
  <sheetViews>
    <sheetView workbookViewId="0">
      <selection activeCell="F12" sqref="F12"/>
    </sheetView>
  </sheetViews>
  <sheetFormatPr defaultRowHeight="15" x14ac:dyDescent="0.25"/>
  <cols>
    <col min="1" max="1" width="18" customWidth="1"/>
    <col min="2" max="2" width="8" customWidth="1"/>
    <col min="3" max="3" width="16.5703125" customWidth="1"/>
    <col min="4" max="4" width="10.7109375" customWidth="1"/>
    <col min="5" max="5" width="18" customWidth="1"/>
    <col min="6" max="6" width="17.85546875" customWidth="1"/>
    <col min="7" max="7" width="25.7109375" bestFit="1" customWidth="1"/>
  </cols>
  <sheetData>
    <row r="1" spans="1:6" x14ac:dyDescent="0.25">
      <c r="A1" s="3" t="s">
        <v>20</v>
      </c>
      <c r="B1" t="s">
        <v>154</v>
      </c>
      <c r="C1" t="s">
        <v>155</v>
      </c>
    </row>
    <row r="2" spans="1:6" x14ac:dyDescent="0.25">
      <c r="A2" s="4" t="s">
        <v>124</v>
      </c>
      <c r="B2" s="11">
        <v>5</v>
      </c>
      <c r="C2" s="20">
        <v>1</v>
      </c>
      <c r="E2" s="4"/>
      <c r="F2" s="20"/>
    </row>
    <row r="3" spans="1:6" x14ac:dyDescent="0.25">
      <c r="A3" s="4" t="s">
        <v>122</v>
      </c>
      <c r="B3" s="11">
        <v>9</v>
      </c>
      <c r="C3" s="20">
        <v>1</v>
      </c>
      <c r="E3" s="4"/>
      <c r="F3" s="20"/>
    </row>
    <row r="4" spans="1:6" x14ac:dyDescent="0.25">
      <c r="A4" s="4" t="s">
        <v>123</v>
      </c>
      <c r="B4" s="11">
        <v>14</v>
      </c>
      <c r="C4" s="20">
        <v>0.8571428571428571</v>
      </c>
      <c r="E4" s="4"/>
      <c r="F4" s="20"/>
    </row>
    <row r="5" spans="1:6" x14ac:dyDescent="0.25">
      <c r="A5" s="4" t="s">
        <v>19</v>
      </c>
      <c r="B5" s="11">
        <v>12</v>
      </c>
      <c r="C5" s="20">
        <v>0.75</v>
      </c>
      <c r="E5" s="4"/>
      <c r="F5" s="20"/>
    </row>
    <row r="6" spans="1:6" x14ac:dyDescent="0.25">
      <c r="A6" s="4" t="s">
        <v>125</v>
      </c>
      <c r="B6" s="11">
        <v>2</v>
      </c>
      <c r="C6" s="20">
        <v>1</v>
      </c>
      <c r="E6" s="4"/>
      <c r="F6" s="20"/>
    </row>
    <row r="7" spans="1:6" x14ac:dyDescent="0.25">
      <c r="A7" s="4" t="s">
        <v>21</v>
      </c>
      <c r="B7" s="11">
        <v>42</v>
      </c>
      <c r="C7" s="20">
        <v>0.88095238095238093</v>
      </c>
      <c r="E7" s="4"/>
      <c r="F7" s="11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J31"/>
  <sheetViews>
    <sheetView topLeftCell="D1" workbookViewId="0">
      <selection activeCell="G15" sqref="G15"/>
    </sheetView>
  </sheetViews>
  <sheetFormatPr defaultRowHeight="15" x14ac:dyDescent="0.25"/>
  <cols>
    <col min="1" max="1" width="18" customWidth="1"/>
    <col min="2" max="2" width="8" customWidth="1"/>
    <col min="3" max="3" width="16.5703125" customWidth="1"/>
    <col min="4" max="4" width="10.7109375" customWidth="1"/>
    <col min="5" max="5" width="18" customWidth="1"/>
    <col min="6" max="6" width="17.85546875" customWidth="1"/>
    <col min="7" max="7" width="25.7109375" bestFit="1" customWidth="1"/>
    <col min="8" max="8" width="44.85546875" bestFit="1" customWidth="1"/>
    <col min="9" max="9" width="8" customWidth="1"/>
    <col min="10" max="10" width="16.5703125" bestFit="1" customWidth="1"/>
  </cols>
  <sheetData>
    <row r="1" spans="1:10" x14ac:dyDescent="0.25">
      <c r="A1" s="3" t="s">
        <v>20</v>
      </c>
      <c r="B1" t="s">
        <v>154</v>
      </c>
      <c r="C1" t="s">
        <v>155</v>
      </c>
      <c r="H1" s="3" t="s">
        <v>20</v>
      </c>
      <c r="I1" t="s">
        <v>154</v>
      </c>
      <c r="J1" t="s">
        <v>155</v>
      </c>
    </row>
    <row r="2" spans="1:10" x14ac:dyDescent="0.25">
      <c r="A2" s="4" t="s">
        <v>136</v>
      </c>
      <c r="B2" s="11">
        <v>11</v>
      </c>
      <c r="C2" s="20">
        <v>0.72727272727272729</v>
      </c>
      <c r="E2" s="4"/>
      <c r="F2" s="20"/>
      <c r="H2" s="4" t="s">
        <v>136</v>
      </c>
      <c r="I2" s="11">
        <v>11</v>
      </c>
      <c r="J2" s="20">
        <v>0.72727272727272729</v>
      </c>
    </row>
    <row r="3" spans="1:10" x14ac:dyDescent="0.25">
      <c r="A3" s="5" t="s">
        <v>10</v>
      </c>
      <c r="B3" s="11">
        <v>7</v>
      </c>
      <c r="C3" s="20">
        <v>0.7142857142857143</v>
      </c>
      <c r="E3" s="5"/>
      <c r="F3" s="20"/>
      <c r="H3" s="5" t="s">
        <v>10</v>
      </c>
      <c r="I3" s="11">
        <v>7</v>
      </c>
      <c r="J3" s="20">
        <v>0.7142857142857143</v>
      </c>
    </row>
    <row r="4" spans="1:10" x14ac:dyDescent="0.25">
      <c r="A4" s="5" t="s">
        <v>88</v>
      </c>
      <c r="B4" s="11">
        <v>4</v>
      </c>
      <c r="C4" s="20">
        <v>0.75</v>
      </c>
      <c r="E4" s="5"/>
      <c r="F4" s="20"/>
      <c r="H4" s="24" t="s">
        <v>72</v>
      </c>
      <c r="I4" s="11">
        <v>3</v>
      </c>
      <c r="J4" s="20">
        <v>0.33333333333333331</v>
      </c>
    </row>
    <row r="5" spans="1:10" x14ac:dyDescent="0.25">
      <c r="A5" s="4" t="s">
        <v>137</v>
      </c>
      <c r="B5" s="11">
        <v>3</v>
      </c>
      <c r="C5" s="20">
        <v>1</v>
      </c>
      <c r="E5" s="4"/>
      <c r="F5" s="20"/>
      <c r="H5" s="24" t="s">
        <v>71</v>
      </c>
      <c r="I5" s="11">
        <v>1</v>
      </c>
      <c r="J5" s="20">
        <v>1</v>
      </c>
    </row>
    <row r="6" spans="1:10" x14ac:dyDescent="0.25">
      <c r="A6" s="5" t="s">
        <v>35</v>
      </c>
      <c r="B6" s="11">
        <v>1</v>
      </c>
      <c r="C6" s="20">
        <v>1</v>
      </c>
      <c r="E6" s="5"/>
      <c r="F6" s="20"/>
      <c r="H6" s="24" t="s">
        <v>70</v>
      </c>
      <c r="I6" s="11">
        <v>1</v>
      </c>
      <c r="J6" s="20">
        <v>1</v>
      </c>
    </row>
    <row r="7" spans="1:10" x14ac:dyDescent="0.25">
      <c r="A7" s="5" t="s">
        <v>91</v>
      </c>
      <c r="B7" s="11">
        <v>2</v>
      </c>
      <c r="C7" s="20">
        <v>1</v>
      </c>
      <c r="E7" s="5"/>
      <c r="F7" s="20"/>
      <c r="H7" s="24" t="s">
        <v>11</v>
      </c>
      <c r="I7" s="11">
        <v>2</v>
      </c>
      <c r="J7" s="20">
        <v>1</v>
      </c>
    </row>
    <row r="8" spans="1:10" x14ac:dyDescent="0.25">
      <c r="A8" s="4" t="s">
        <v>138</v>
      </c>
      <c r="B8" s="11">
        <v>28</v>
      </c>
      <c r="C8" s="20">
        <v>0.9285714285714286</v>
      </c>
      <c r="E8" s="4"/>
      <c r="F8" s="20"/>
      <c r="H8" s="5" t="s">
        <v>88</v>
      </c>
      <c r="I8" s="11">
        <v>4</v>
      </c>
      <c r="J8" s="20">
        <v>0.75</v>
      </c>
    </row>
    <row r="9" spans="1:10" x14ac:dyDescent="0.25">
      <c r="A9" s="5" t="s">
        <v>36</v>
      </c>
      <c r="B9" s="11">
        <v>20</v>
      </c>
      <c r="C9" s="20">
        <v>0.95</v>
      </c>
      <c r="E9" s="5"/>
      <c r="F9" s="20"/>
      <c r="H9" s="24" t="s">
        <v>90</v>
      </c>
      <c r="I9" s="11">
        <v>4</v>
      </c>
      <c r="J9" s="20">
        <v>0.75</v>
      </c>
    </row>
    <row r="10" spans="1:10" x14ac:dyDescent="0.25">
      <c r="A10" s="5" t="s">
        <v>65</v>
      </c>
      <c r="B10" s="11">
        <v>8</v>
      </c>
      <c r="C10" s="20">
        <v>0.875</v>
      </c>
      <c r="E10" s="5"/>
      <c r="F10" s="20"/>
      <c r="H10" s="4" t="s">
        <v>137</v>
      </c>
      <c r="I10" s="11">
        <v>3</v>
      </c>
      <c r="J10" s="20">
        <v>1</v>
      </c>
    </row>
    <row r="11" spans="1:10" x14ac:dyDescent="0.25">
      <c r="A11" s="4" t="s">
        <v>21</v>
      </c>
      <c r="B11" s="11">
        <v>42</v>
      </c>
      <c r="C11" s="11">
        <v>0.88095238095238093</v>
      </c>
      <c r="E11" s="4"/>
      <c r="F11" s="20"/>
      <c r="H11" s="5" t="s">
        <v>35</v>
      </c>
      <c r="I11" s="11">
        <v>1</v>
      </c>
      <c r="J11" s="20">
        <v>1</v>
      </c>
    </row>
    <row r="12" spans="1:10" x14ac:dyDescent="0.25">
      <c r="H12" s="24" t="s">
        <v>73</v>
      </c>
      <c r="I12" s="11">
        <v>1</v>
      </c>
      <c r="J12" s="20">
        <v>1</v>
      </c>
    </row>
    <row r="13" spans="1:10" x14ac:dyDescent="0.25">
      <c r="H13" s="5" t="s">
        <v>91</v>
      </c>
      <c r="I13" s="11">
        <v>2</v>
      </c>
      <c r="J13" s="20">
        <v>1</v>
      </c>
    </row>
    <row r="14" spans="1:10" x14ac:dyDescent="0.25">
      <c r="H14" s="24" t="s">
        <v>92</v>
      </c>
      <c r="I14" s="11">
        <v>2</v>
      </c>
      <c r="J14" s="20">
        <v>1</v>
      </c>
    </row>
    <row r="15" spans="1:10" x14ac:dyDescent="0.25">
      <c r="H15" s="4" t="s">
        <v>138</v>
      </c>
      <c r="I15" s="11">
        <v>28</v>
      </c>
      <c r="J15" s="20">
        <v>0.9285714285714286</v>
      </c>
    </row>
    <row r="16" spans="1:10" x14ac:dyDescent="0.25">
      <c r="H16" s="5" t="s">
        <v>36</v>
      </c>
      <c r="I16" s="11">
        <v>20</v>
      </c>
      <c r="J16" s="20">
        <v>0.95</v>
      </c>
    </row>
    <row r="17" spans="8:10" x14ac:dyDescent="0.25">
      <c r="H17" s="24" t="s">
        <v>86</v>
      </c>
      <c r="I17" s="11">
        <v>2</v>
      </c>
      <c r="J17" s="20">
        <v>1</v>
      </c>
    </row>
    <row r="18" spans="8:10" x14ac:dyDescent="0.25">
      <c r="H18" s="24" t="s">
        <v>83</v>
      </c>
      <c r="I18" s="11">
        <v>3</v>
      </c>
      <c r="J18" s="20">
        <v>1</v>
      </c>
    </row>
    <row r="19" spans="8:10" x14ac:dyDescent="0.25">
      <c r="H19" s="24" t="s">
        <v>84</v>
      </c>
      <c r="I19" s="11">
        <v>1</v>
      </c>
      <c r="J19" s="20">
        <v>1</v>
      </c>
    </row>
    <row r="20" spans="8:10" x14ac:dyDescent="0.25">
      <c r="H20" s="24" t="s">
        <v>82</v>
      </c>
      <c r="I20" s="11">
        <v>2</v>
      </c>
      <c r="J20" s="20">
        <v>0.5</v>
      </c>
    </row>
    <row r="21" spans="8:10" x14ac:dyDescent="0.25">
      <c r="H21" s="24" t="s">
        <v>85</v>
      </c>
      <c r="I21" s="11">
        <v>3</v>
      </c>
      <c r="J21" s="20">
        <v>1</v>
      </c>
    </row>
    <row r="22" spans="8:10" x14ac:dyDescent="0.25">
      <c r="H22" s="24" t="s">
        <v>76</v>
      </c>
      <c r="I22" s="11">
        <v>3</v>
      </c>
      <c r="J22" s="20">
        <v>1</v>
      </c>
    </row>
    <row r="23" spans="8:10" x14ac:dyDescent="0.25">
      <c r="H23" s="24" t="s">
        <v>77</v>
      </c>
      <c r="I23" s="11">
        <v>2</v>
      </c>
      <c r="J23" s="20">
        <v>1</v>
      </c>
    </row>
    <row r="24" spans="8:10" x14ac:dyDescent="0.25">
      <c r="H24" s="24" t="s">
        <v>75</v>
      </c>
      <c r="I24" s="11">
        <v>3</v>
      </c>
      <c r="J24" s="20">
        <v>1</v>
      </c>
    </row>
    <row r="25" spans="8:10" x14ac:dyDescent="0.25">
      <c r="H25" s="24" t="s">
        <v>87</v>
      </c>
      <c r="I25" s="11">
        <v>1</v>
      </c>
      <c r="J25" s="20">
        <v>1</v>
      </c>
    </row>
    <row r="26" spans="8:10" x14ac:dyDescent="0.25">
      <c r="H26" s="5" t="s">
        <v>65</v>
      </c>
      <c r="I26" s="11">
        <v>8</v>
      </c>
      <c r="J26" s="20">
        <v>0.875</v>
      </c>
    </row>
    <row r="27" spans="8:10" x14ac:dyDescent="0.25">
      <c r="H27" s="24" t="s">
        <v>98</v>
      </c>
      <c r="I27" s="11">
        <v>1</v>
      </c>
      <c r="J27" s="20">
        <v>1</v>
      </c>
    </row>
    <row r="28" spans="8:10" x14ac:dyDescent="0.25">
      <c r="H28" s="24" t="s">
        <v>94</v>
      </c>
      <c r="I28" s="11">
        <v>3</v>
      </c>
      <c r="J28" s="20">
        <v>1</v>
      </c>
    </row>
    <row r="29" spans="8:10" x14ac:dyDescent="0.25">
      <c r="H29" s="24" t="s">
        <v>96</v>
      </c>
      <c r="I29" s="11">
        <v>1</v>
      </c>
      <c r="J29" s="20">
        <v>1</v>
      </c>
    </row>
    <row r="30" spans="8:10" x14ac:dyDescent="0.25">
      <c r="H30" s="24" t="s">
        <v>99</v>
      </c>
      <c r="I30" s="11">
        <v>3</v>
      </c>
      <c r="J30" s="20">
        <v>0.66666666666666663</v>
      </c>
    </row>
    <row r="31" spans="8:10" x14ac:dyDescent="0.25">
      <c r="H31" s="4" t="s">
        <v>21</v>
      </c>
      <c r="I31" s="11">
        <v>42</v>
      </c>
      <c r="J31" s="20">
        <v>0.88095238095238093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F4"/>
  <sheetViews>
    <sheetView workbookViewId="0">
      <selection activeCell="C1" sqref="C1"/>
    </sheetView>
  </sheetViews>
  <sheetFormatPr defaultRowHeight="15" x14ac:dyDescent="0.25"/>
  <cols>
    <col min="1" max="1" width="18" customWidth="1"/>
    <col min="2" max="2" width="8" customWidth="1"/>
    <col min="3" max="3" width="16.5703125" customWidth="1"/>
    <col min="4" max="4" width="10.7109375" customWidth="1"/>
    <col min="5" max="5" width="18" customWidth="1"/>
    <col min="6" max="6" width="17.85546875" customWidth="1"/>
    <col min="7" max="7" width="25.7109375" bestFit="1" customWidth="1"/>
  </cols>
  <sheetData>
    <row r="1" spans="1:6" x14ac:dyDescent="0.25">
      <c r="A1" s="3" t="s">
        <v>20</v>
      </c>
      <c r="B1" t="s">
        <v>154</v>
      </c>
      <c r="C1" t="s">
        <v>155</v>
      </c>
    </row>
    <row r="2" spans="1:6" x14ac:dyDescent="0.25">
      <c r="A2" s="4" t="s">
        <v>18</v>
      </c>
      <c r="B2" s="11">
        <v>27</v>
      </c>
      <c r="C2" s="20">
        <v>0.92592592592592593</v>
      </c>
      <c r="E2" s="4"/>
      <c r="F2" s="23"/>
    </row>
    <row r="3" spans="1:6" x14ac:dyDescent="0.25">
      <c r="A3" s="4" t="s">
        <v>67</v>
      </c>
      <c r="B3" s="11">
        <v>15</v>
      </c>
      <c r="C3" s="20">
        <v>0.8</v>
      </c>
      <c r="E3" s="4"/>
      <c r="F3" s="23"/>
    </row>
    <row r="4" spans="1:6" x14ac:dyDescent="0.25">
      <c r="A4" s="4" t="s">
        <v>21</v>
      </c>
      <c r="B4" s="11">
        <v>42</v>
      </c>
      <c r="C4" s="11">
        <v>0.88095238095238093</v>
      </c>
      <c r="E4" s="4"/>
      <c r="F4" s="20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F11"/>
  <sheetViews>
    <sheetView workbookViewId="0"/>
  </sheetViews>
  <sheetFormatPr defaultRowHeight="15" x14ac:dyDescent="0.25"/>
  <cols>
    <col min="1" max="1" width="18" bestFit="1" customWidth="1"/>
    <col min="2" max="2" width="8" customWidth="1"/>
    <col min="3" max="3" width="16.5703125" customWidth="1"/>
    <col min="4" max="4" width="10.7109375" customWidth="1"/>
    <col min="5" max="5" width="18" customWidth="1"/>
    <col min="6" max="6" width="17.85546875" customWidth="1"/>
    <col min="7" max="7" width="25.7109375" bestFit="1" customWidth="1"/>
  </cols>
  <sheetData>
    <row r="1" spans="1:6" x14ac:dyDescent="0.25">
      <c r="A1" s="3" t="s">
        <v>20</v>
      </c>
      <c r="B1" t="s">
        <v>154</v>
      </c>
      <c r="C1" t="s">
        <v>155</v>
      </c>
    </row>
    <row r="2" spans="1:6" x14ac:dyDescent="0.25">
      <c r="A2" s="19" t="s">
        <v>145</v>
      </c>
      <c r="B2" s="11">
        <v>5</v>
      </c>
      <c r="C2" s="20">
        <v>0.8</v>
      </c>
      <c r="E2" s="4"/>
      <c r="F2" s="20"/>
    </row>
    <row r="3" spans="1:6" x14ac:dyDescent="0.25">
      <c r="A3" s="19" t="s">
        <v>156</v>
      </c>
      <c r="B3" s="11">
        <v>9</v>
      </c>
      <c r="C3" s="20">
        <v>0.88888888888888884</v>
      </c>
      <c r="E3" s="5"/>
      <c r="F3" s="20"/>
    </row>
    <row r="4" spans="1:6" x14ac:dyDescent="0.25">
      <c r="A4" s="19" t="s">
        <v>157</v>
      </c>
      <c r="B4" s="11">
        <v>4</v>
      </c>
      <c r="C4" s="20">
        <v>1</v>
      </c>
      <c r="E4" s="5"/>
      <c r="F4" s="20"/>
    </row>
    <row r="5" spans="1:6" x14ac:dyDescent="0.25">
      <c r="A5" s="19" t="s">
        <v>146</v>
      </c>
      <c r="B5" s="11">
        <v>3</v>
      </c>
      <c r="C5" s="20">
        <v>1</v>
      </c>
      <c r="E5" s="4"/>
      <c r="F5" s="20"/>
    </row>
    <row r="6" spans="1:6" x14ac:dyDescent="0.25">
      <c r="A6" s="19" t="s">
        <v>147</v>
      </c>
      <c r="B6" s="11">
        <v>3</v>
      </c>
      <c r="C6" s="20">
        <v>1</v>
      </c>
      <c r="E6" s="5"/>
      <c r="F6" s="20"/>
    </row>
    <row r="7" spans="1:6" x14ac:dyDescent="0.25">
      <c r="A7" s="19" t="s">
        <v>148</v>
      </c>
      <c r="B7" s="11">
        <v>5</v>
      </c>
      <c r="C7" s="20">
        <v>0.6</v>
      </c>
      <c r="E7" s="5"/>
      <c r="F7" s="20"/>
    </row>
    <row r="8" spans="1:6" x14ac:dyDescent="0.25">
      <c r="A8" s="19" t="s">
        <v>149</v>
      </c>
      <c r="B8" s="11">
        <v>5</v>
      </c>
      <c r="C8" s="20">
        <v>1</v>
      </c>
      <c r="E8" s="4"/>
      <c r="F8" s="20"/>
    </row>
    <row r="9" spans="1:6" x14ac:dyDescent="0.25">
      <c r="A9" s="19" t="s">
        <v>158</v>
      </c>
      <c r="B9" s="11">
        <v>7</v>
      </c>
      <c r="C9" s="20">
        <v>0.8571428571428571</v>
      </c>
      <c r="E9" s="5"/>
      <c r="F9" s="20"/>
    </row>
    <row r="10" spans="1:6" x14ac:dyDescent="0.25">
      <c r="A10" s="19" t="s">
        <v>159</v>
      </c>
      <c r="B10" s="11">
        <v>1</v>
      </c>
      <c r="C10" s="20">
        <v>1</v>
      </c>
      <c r="E10" s="5"/>
      <c r="F10" s="20"/>
    </row>
    <row r="11" spans="1:6" x14ac:dyDescent="0.25">
      <c r="A11" s="19" t="s">
        <v>21</v>
      </c>
      <c r="B11" s="11">
        <v>42</v>
      </c>
      <c r="C11" s="20">
        <v>0.88095238095238093</v>
      </c>
      <c r="E11" s="4"/>
      <c r="F11" s="20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AD43"/>
  <sheetViews>
    <sheetView tabSelected="1" workbookViewId="0">
      <selection activeCell="F7" sqref="F7"/>
    </sheetView>
  </sheetViews>
  <sheetFormatPr defaultRowHeight="15" x14ac:dyDescent="0.25"/>
  <cols>
    <col min="1" max="1" width="13.7109375" customWidth="1"/>
    <col min="2" max="3" width="11.5703125" customWidth="1"/>
    <col min="4" max="4" width="12.5703125" bestFit="1" customWidth="1"/>
    <col min="5" max="5" width="12.85546875" bestFit="1" customWidth="1"/>
    <col min="6" max="6" width="39.28515625" bestFit="1" customWidth="1"/>
    <col min="7" max="7" width="12.140625" customWidth="1"/>
    <col min="8" max="8" width="17.7109375" customWidth="1"/>
    <col min="9" max="9" width="18.85546875" customWidth="1"/>
    <col min="10" max="10" width="22.7109375" customWidth="1"/>
    <col min="11" max="11" width="20" customWidth="1"/>
    <col min="12" max="12" width="9.140625" customWidth="1"/>
    <col min="13" max="13" width="12.42578125" bestFit="1" customWidth="1"/>
    <col min="14" max="14" width="12.85546875" bestFit="1" customWidth="1"/>
    <col min="15" max="15" width="13.5703125" customWidth="1"/>
    <col min="16" max="16" width="18.42578125" customWidth="1"/>
    <col min="17" max="24" width="20" customWidth="1"/>
    <col min="25" max="25" width="21" customWidth="1"/>
  </cols>
  <sheetData>
    <row r="1" spans="1:30" ht="15.75" thickBot="1" x14ac:dyDescent="0.3">
      <c r="A1" s="7" t="s">
        <v>150</v>
      </c>
      <c r="B1" s="7" t="s">
        <v>0</v>
      </c>
      <c r="C1" s="7" t="s">
        <v>120</v>
      </c>
      <c r="D1" s="7" t="s">
        <v>109</v>
      </c>
      <c r="E1" s="7" t="s">
        <v>12</v>
      </c>
      <c r="F1" s="7" t="s">
        <v>111</v>
      </c>
      <c r="G1" s="7" t="s">
        <v>135</v>
      </c>
      <c r="H1" s="7" t="s">
        <v>1</v>
      </c>
      <c r="I1" s="7" t="s">
        <v>2</v>
      </c>
      <c r="J1" s="8" t="s">
        <v>3</v>
      </c>
      <c r="K1" s="8" t="s">
        <v>4</v>
      </c>
      <c r="L1" s="7" t="s">
        <v>134</v>
      </c>
      <c r="M1" s="9" t="s">
        <v>5</v>
      </c>
      <c r="N1" s="7" t="s">
        <v>6</v>
      </c>
      <c r="O1" s="7" t="s">
        <v>7</v>
      </c>
      <c r="P1" s="7" t="s">
        <v>8</v>
      </c>
      <c r="Q1" s="12" t="s">
        <v>128</v>
      </c>
      <c r="R1" s="12" t="s">
        <v>153</v>
      </c>
      <c r="S1" s="12" t="s">
        <v>151</v>
      </c>
      <c r="T1" s="1" t="s">
        <v>9</v>
      </c>
      <c r="U1" t="s">
        <v>139</v>
      </c>
      <c r="V1" t="s">
        <v>161</v>
      </c>
      <c r="W1" t="s">
        <v>170</v>
      </c>
      <c r="X1" t="s">
        <v>167</v>
      </c>
      <c r="Y1" t="s">
        <v>171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</row>
    <row r="2" spans="1:30" x14ac:dyDescent="0.25">
      <c r="A2">
        <v>1</v>
      </c>
      <c r="B2" t="s">
        <v>23</v>
      </c>
      <c r="C2">
        <v>14</v>
      </c>
      <c r="D2" t="s">
        <v>191</v>
      </c>
      <c r="E2" t="s">
        <v>110</v>
      </c>
      <c r="G2" t="str">
        <f>VLOOKUP(Tabela1[[#This Row],[Esteira]],Tabela2[],2,FALSE)</f>
        <v>Coord 3</v>
      </c>
      <c r="H2" t="str">
        <f>VLOOKUP($C2,Apoio!$A$2:$C$25,2)</f>
        <v>Liberação</v>
      </c>
      <c r="I2" t="str">
        <f>VLOOKUP($C2,Apoio!$A$2:$C$25,3)</f>
        <v>Destrava</v>
      </c>
      <c r="J2" t="s">
        <v>67</v>
      </c>
      <c r="K2" t="s">
        <v>19</v>
      </c>
      <c r="L2" s="13">
        <v>26.001435185185183</v>
      </c>
      <c r="M2">
        <v>23</v>
      </c>
      <c r="N2" s="2">
        <v>0.53472222222222221</v>
      </c>
      <c r="O2" s="2">
        <v>0.53125</v>
      </c>
      <c r="P2" t="s">
        <v>131</v>
      </c>
      <c r="Q2" t="s">
        <v>129</v>
      </c>
      <c r="R2">
        <f>IF(Tabela1[[#This Row],[Atraso]]="No Prazo",1,0)</f>
        <v>1</v>
      </c>
      <c r="S2">
        <f>MONTH(Tabela1[[#This Row],[Data de Abertura]])</f>
        <v>1</v>
      </c>
    </row>
    <row r="3" spans="1:30" x14ac:dyDescent="0.25">
      <c r="A3">
        <v>1</v>
      </c>
      <c r="B3" t="s">
        <v>24</v>
      </c>
      <c r="C3">
        <v>19</v>
      </c>
      <c r="D3" t="s">
        <v>192</v>
      </c>
      <c r="E3" t="s">
        <v>193</v>
      </c>
      <c r="G3" t="str">
        <f>VLOOKUP(Tabela1[[#This Row],[Esteira]],Tabela2[],2,FALSE)</f>
        <v>Coord 1</v>
      </c>
      <c r="H3" t="str">
        <f>VLOOKUP($C3,Apoio!$A$2:$C$25,2)</f>
        <v>Conciliação</v>
      </c>
      <c r="I3" t="str">
        <f>VLOOKUP($C3,Apoio!$A$2:$C$25,3)</f>
        <v>Fechamento</v>
      </c>
      <c r="J3" t="s">
        <v>18</v>
      </c>
      <c r="K3" t="s">
        <v>122</v>
      </c>
      <c r="L3" s="13">
        <v>94.001432270148186</v>
      </c>
      <c r="P3" t="s">
        <v>131</v>
      </c>
      <c r="Q3" t="s">
        <v>129</v>
      </c>
      <c r="R3">
        <f>IF(Tabela1[[#This Row],[Atraso]]="No Prazo",1,0)</f>
        <v>1</v>
      </c>
      <c r="S3">
        <f>MONTH(Tabela1[[#This Row],[Data de Abertura]])</f>
        <v>4</v>
      </c>
    </row>
    <row r="4" spans="1:30" x14ac:dyDescent="0.25">
      <c r="A4">
        <v>1</v>
      </c>
      <c r="B4" t="s">
        <v>25</v>
      </c>
      <c r="C4">
        <v>10</v>
      </c>
      <c r="D4" t="s">
        <v>191</v>
      </c>
      <c r="E4" t="s">
        <v>109</v>
      </c>
      <c r="G4" t="str">
        <f>VLOOKUP(Tabela1[[#This Row],[Esteira]],Tabela2[],2,FALSE)</f>
        <v>Coord 3</v>
      </c>
      <c r="H4" t="str">
        <f>VLOOKUP($C4,Apoio!$A$2:$C$25,2)</f>
        <v>Liberação</v>
      </c>
      <c r="I4" t="str">
        <f>VLOOKUP($C4,Apoio!$A$2:$C$25,3)</f>
        <v>Liberação Pontual de Recursos (Portal TEF)</v>
      </c>
      <c r="J4" t="s">
        <v>18</v>
      </c>
      <c r="K4" t="s">
        <v>123</v>
      </c>
      <c r="L4" s="13">
        <v>163.00143518518519</v>
      </c>
      <c r="P4" t="s">
        <v>132</v>
      </c>
      <c r="Q4" t="s">
        <v>129</v>
      </c>
      <c r="R4">
        <f>IF(Tabela1[[#This Row],[Atraso]]="No Prazo",1,0)</f>
        <v>1</v>
      </c>
      <c r="S4">
        <f>MONTH(Tabela1[[#This Row],[Data de Abertura]])</f>
        <v>6</v>
      </c>
      <c r="U4">
        <v>976329</v>
      </c>
    </row>
    <row r="5" spans="1:30" x14ac:dyDescent="0.25">
      <c r="A5">
        <v>1</v>
      </c>
      <c r="B5" t="s">
        <v>26</v>
      </c>
      <c r="C5">
        <v>21</v>
      </c>
      <c r="D5" t="s">
        <v>191</v>
      </c>
      <c r="E5" t="s">
        <v>109</v>
      </c>
      <c r="G5" t="str">
        <f>VLOOKUP(Tabela1[[#This Row],[Esteira]],Tabela2[],2,FALSE)</f>
        <v>Coord 3</v>
      </c>
      <c r="H5" t="str">
        <f>VLOOKUP($C5,Apoio!$A$2:$C$25,2)</f>
        <v>Atendimento</v>
      </c>
      <c r="I5" t="str">
        <f>VLOOKUP($C5,Apoio!$A$2:$C$25,3)</f>
        <v>Consultas</v>
      </c>
      <c r="J5" t="s">
        <v>67</v>
      </c>
      <c r="K5" t="s">
        <v>124</v>
      </c>
      <c r="L5" s="13">
        <v>41.001435185185187</v>
      </c>
      <c r="P5" t="s">
        <v>131</v>
      </c>
      <c r="Q5" t="s">
        <v>129</v>
      </c>
      <c r="R5">
        <f>IF(Tabela1[[#This Row],[Atraso]]="No Prazo",1,0)</f>
        <v>1</v>
      </c>
      <c r="S5">
        <f>MONTH(Tabela1[[#This Row],[Data de Abertura]])</f>
        <v>2</v>
      </c>
      <c r="X5" t="s">
        <v>172</v>
      </c>
      <c r="Y5" t="s">
        <v>179</v>
      </c>
    </row>
    <row r="6" spans="1:30" x14ac:dyDescent="0.25">
      <c r="A6">
        <v>1</v>
      </c>
      <c r="B6" t="s">
        <v>27</v>
      </c>
      <c r="C6">
        <v>19</v>
      </c>
      <c r="D6" t="s">
        <v>191</v>
      </c>
      <c r="E6" t="s">
        <v>109</v>
      </c>
      <c r="G6" t="str">
        <f>VLOOKUP(Tabela1[[#This Row],[Esteira]],Tabela2[],2,FALSE)</f>
        <v>Coord 1</v>
      </c>
      <c r="H6" t="str">
        <f>VLOOKUP($C6,Apoio!$A$2:$C$25,2)</f>
        <v>Conciliação</v>
      </c>
      <c r="I6" t="str">
        <f>VLOOKUP($C6,Apoio!$A$2:$C$25,3)</f>
        <v>Fechamento</v>
      </c>
      <c r="J6" t="s">
        <v>18</v>
      </c>
      <c r="K6" t="s">
        <v>125</v>
      </c>
      <c r="L6" s="13">
        <v>102.00143518518519</v>
      </c>
      <c r="P6" t="s">
        <v>131</v>
      </c>
      <c r="Q6" t="s">
        <v>129</v>
      </c>
      <c r="R6">
        <f>IF(Tabela1[[#This Row],[Atraso]]="No Prazo",1,0)</f>
        <v>1</v>
      </c>
      <c r="S6">
        <f>MONTH(Tabela1[[#This Row],[Data de Abertura]])</f>
        <v>4</v>
      </c>
    </row>
    <row r="7" spans="1:30" x14ac:dyDescent="0.25">
      <c r="A7">
        <v>1</v>
      </c>
      <c r="B7" t="s">
        <v>28</v>
      </c>
      <c r="C7">
        <v>8</v>
      </c>
      <c r="D7" t="s">
        <v>192</v>
      </c>
      <c r="E7" t="s">
        <v>193</v>
      </c>
      <c r="G7" t="str">
        <f>VLOOKUP(Tabela1[[#This Row],[Esteira]],Tabela2[],2,FALSE)</f>
        <v>Coord 2</v>
      </c>
      <c r="H7" t="str">
        <f>VLOOKUP($C7,Apoio!$A$2:$C$25,2)</f>
        <v>Composição</v>
      </c>
      <c r="I7" t="str">
        <f>VLOOKUP($C7,Apoio!$A$2:$C$25,3)</f>
        <v>Composição Sem Liberação</v>
      </c>
      <c r="J7" t="s">
        <v>18</v>
      </c>
      <c r="K7" t="s">
        <v>125</v>
      </c>
      <c r="L7" s="13">
        <v>141.00143518518519</v>
      </c>
      <c r="P7" t="s">
        <v>131</v>
      </c>
      <c r="Q7" t="s">
        <v>129</v>
      </c>
      <c r="R7">
        <f>IF(Tabela1[[#This Row],[Atraso]]="No Prazo",1,0)</f>
        <v>1</v>
      </c>
      <c r="S7">
        <f>MONTH(Tabela1[[#This Row],[Data de Abertura]])</f>
        <v>5</v>
      </c>
    </row>
    <row r="8" spans="1:30" x14ac:dyDescent="0.25">
      <c r="A8">
        <v>1</v>
      </c>
      <c r="B8" t="s">
        <v>29</v>
      </c>
      <c r="C8">
        <v>17</v>
      </c>
      <c r="D8" t="s">
        <v>191</v>
      </c>
      <c r="E8" t="s">
        <v>110</v>
      </c>
      <c r="G8" t="str">
        <f>VLOOKUP(Tabela1[[#This Row],[Esteira]],Tabela2[],2,FALSE)</f>
        <v>Coord 3</v>
      </c>
      <c r="H8" t="str">
        <f>VLOOKUP($C8,Apoio!$A$2:$C$25,2)</f>
        <v>Liberação</v>
      </c>
      <c r="I8" t="str">
        <f>VLOOKUP($C8,Apoio!$A$2:$C$25,3)</f>
        <v>Pagamentos e Despesas</v>
      </c>
      <c r="J8" t="s">
        <v>67</v>
      </c>
      <c r="K8" t="s">
        <v>122</v>
      </c>
      <c r="L8" s="13">
        <v>217.00143227014817</v>
      </c>
      <c r="P8" t="s">
        <v>131</v>
      </c>
      <c r="Q8" t="s">
        <v>129</v>
      </c>
      <c r="R8">
        <f>IF(Tabela1[[#This Row],[Atraso]]="No Prazo",1,0)</f>
        <v>1</v>
      </c>
      <c r="S8">
        <f>MONTH(Tabela1[[#This Row],[Data de Abertura]])</f>
        <v>8</v>
      </c>
    </row>
    <row r="9" spans="1:30" x14ac:dyDescent="0.25">
      <c r="A9">
        <v>1</v>
      </c>
      <c r="B9" t="s">
        <v>30</v>
      </c>
      <c r="C9">
        <v>12</v>
      </c>
      <c r="D9" t="s">
        <v>192</v>
      </c>
      <c r="E9" t="s">
        <v>193</v>
      </c>
      <c r="G9" t="str">
        <f>VLOOKUP(Tabela1[[#This Row],[Esteira]],Tabela2[],2,FALSE)</f>
        <v>Coord 3</v>
      </c>
      <c r="H9" t="str">
        <f>VLOOKUP($C9,Apoio!$A$2:$C$25,2)</f>
        <v>Liberação</v>
      </c>
      <c r="I9" t="str">
        <f>VLOOKUP($C9,Apoio!$A$2:$C$25,3)</f>
        <v>Emissão de Termo de Liberação</v>
      </c>
      <c r="J9" t="s">
        <v>18</v>
      </c>
      <c r="K9" t="s">
        <v>123</v>
      </c>
      <c r="L9" s="13">
        <v>236.00143227014817</v>
      </c>
      <c r="P9" t="s">
        <v>132</v>
      </c>
      <c r="Q9" t="s">
        <v>130</v>
      </c>
      <c r="R9">
        <f>IF(Tabela1[[#This Row],[Atraso]]="No Prazo",1,0)</f>
        <v>0</v>
      </c>
      <c r="S9">
        <f>MONTH(Tabela1[[#This Row],[Data de Abertura]])</f>
        <v>8</v>
      </c>
    </row>
    <row r="10" spans="1:30" x14ac:dyDescent="0.25">
      <c r="A10">
        <v>1</v>
      </c>
      <c r="B10" t="s">
        <v>177</v>
      </c>
      <c r="C10">
        <v>21</v>
      </c>
      <c r="D10" t="s">
        <v>191</v>
      </c>
      <c r="E10" t="s">
        <v>109</v>
      </c>
      <c r="G10" t="str">
        <f>VLOOKUP(Tabela1[[#This Row],[Esteira]],Tabela2[],2,FALSE)</f>
        <v>Coord 3</v>
      </c>
      <c r="H10" t="str">
        <f>VLOOKUP($C10,Apoio!$A$2:$C$25,2)</f>
        <v>Atendimento</v>
      </c>
      <c r="I10" t="str">
        <f>VLOOKUP($C10,Apoio!$A$2:$C$25,3)</f>
        <v>Consultas</v>
      </c>
      <c r="J10" t="s">
        <v>67</v>
      </c>
      <c r="K10" t="s">
        <v>123</v>
      </c>
      <c r="L10" s="13">
        <v>41.001435185185187</v>
      </c>
      <c r="P10" t="s">
        <v>131</v>
      </c>
      <c r="Q10" t="s">
        <v>129</v>
      </c>
      <c r="R10">
        <f>IF(Tabela1[[#This Row],[Atraso]]="No Prazo",1,0)</f>
        <v>1</v>
      </c>
      <c r="S10">
        <f>MONTH(Tabela1[[#This Row],[Data de Abertura]])</f>
        <v>2</v>
      </c>
      <c r="X10" t="s">
        <v>172</v>
      </c>
      <c r="Y10" t="s">
        <v>180</v>
      </c>
    </row>
    <row r="11" spans="1:30" x14ac:dyDescent="0.25">
      <c r="A11">
        <v>1</v>
      </c>
      <c r="B11" t="s">
        <v>178</v>
      </c>
      <c r="C11">
        <v>21</v>
      </c>
      <c r="D11" t="s">
        <v>191</v>
      </c>
      <c r="E11" t="s">
        <v>109</v>
      </c>
      <c r="G11" t="str">
        <f>VLOOKUP(Tabela1[[#This Row],[Esteira]],Tabela2[],2,FALSE)</f>
        <v>Coord 3</v>
      </c>
      <c r="H11" t="str">
        <f>VLOOKUP($C11,Apoio!$A$2:$C$25,2)</f>
        <v>Atendimento</v>
      </c>
      <c r="I11" t="str">
        <f>VLOOKUP($C11,Apoio!$A$2:$C$25,3)</f>
        <v>Consultas</v>
      </c>
      <c r="J11" t="s">
        <v>67</v>
      </c>
      <c r="K11" t="s">
        <v>124</v>
      </c>
      <c r="L11" s="13">
        <v>41.001435185185187</v>
      </c>
      <c r="P11" t="s">
        <v>131</v>
      </c>
      <c r="Q11" t="s">
        <v>129</v>
      </c>
      <c r="R11">
        <f>IF(Tabela1[[#This Row],[Atraso]]="No Prazo",1,0)</f>
        <v>1</v>
      </c>
      <c r="S11">
        <f>MONTH(Tabela1[[#This Row],[Data de Abertura]])</f>
        <v>2</v>
      </c>
      <c r="X11" t="s">
        <v>172</v>
      </c>
      <c r="Y11" t="s">
        <v>180</v>
      </c>
    </row>
    <row r="12" spans="1:30" x14ac:dyDescent="0.25">
      <c r="A12">
        <v>1</v>
      </c>
      <c r="B12" t="s">
        <v>31</v>
      </c>
      <c r="C12">
        <v>23</v>
      </c>
      <c r="D12" t="s">
        <v>192</v>
      </c>
      <c r="E12" t="s">
        <v>193</v>
      </c>
      <c r="G12" t="str">
        <f>VLOOKUP(Tabela1[[#This Row],[Esteira]],Tabela2[],2,FALSE)</f>
        <v>Coord 3</v>
      </c>
      <c r="H12" t="str">
        <f>VLOOKUP($C12,Apoio!$A$2:$C$25,2)</f>
        <v>Atendimento</v>
      </c>
      <c r="I12" t="str">
        <f>VLOOKUP($C12,Apoio!$A$2:$C$25,3)</f>
        <v>Confirmação de Utilização de Conta</v>
      </c>
      <c r="J12" t="s">
        <v>18</v>
      </c>
      <c r="K12" t="s">
        <v>124</v>
      </c>
      <c r="L12" s="13">
        <v>226.00143227014817</v>
      </c>
      <c r="P12" t="s">
        <v>131</v>
      </c>
      <c r="Q12" t="s">
        <v>129</v>
      </c>
      <c r="R12">
        <f>IF(Tabela1[[#This Row],[Atraso]]="No Prazo",1,0)</f>
        <v>1</v>
      </c>
      <c r="S12">
        <f>MONTH(Tabela1[[#This Row],[Data de Abertura]])</f>
        <v>8</v>
      </c>
      <c r="X12" t="s">
        <v>169</v>
      </c>
    </row>
    <row r="13" spans="1:30" x14ac:dyDescent="0.25">
      <c r="A13">
        <v>1</v>
      </c>
      <c r="B13" t="s">
        <v>32</v>
      </c>
      <c r="C13">
        <v>9</v>
      </c>
      <c r="D13" t="s">
        <v>191</v>
      </c>
      <c r="E13" t="s">
        <v>109</v>
      </c>
      <c r="G13" t="str">
        <f>VLOOKUP(Tabela1[[#This Row],[Esteira]],Tabela2[],2,FALSE)</f>
        <v>Coord 3</v>
      </c>
      <c r="H13" t="str">
        <f>VLOOKUP($C13,Apoio!$A$2:$C$25,2)</f>
        <v>Liberação</v>
      </c>
      <c r="I13" t="str">
        <f>VLOOKUP($C13,Apoio!$A$2:$C$25,3)</f>
        <v>Liberação via Módulo</v>
      </c>
      <c r="J13" t="s">
        <v>18</v>
      </c>
      <c r="K13" t="s">
        <v>124</v>
      </c>
      <c r="L13" s="13">
        <v>242.00143227014817</v>
      </c>
      <c r="P13" t="s">
        <v>131</v>
      </c>
      <c r="Q13" t="s">
        <v>129</v>
      </c>
      <c r="R13">
        <f>IF(Tabela1[[#This Row],[Atraso]]="No Prazo",1,0)</f>
        <v>1</v>
      </c>
      <c r="S13">
        <f>MONTH(Tabela1[[#This Row],[Data de Abertura]])</f>
        <v>8</v>
      </c>
      <c r="U13">
        <v>398091</v>
      </c>
    </row>
    <row r="14" spans="1:30" x14ac:dyDescent="0.25">
      <c r="A14">
        <v>1</v>
      </c>
      <c r="B14" t="s">
        <v>33</v>
      </c>
      <c r="C14">
        <v>11</v>
      </c>
      <c r="D14" t="s">
        <v>191</v>
      </c>
      <c r="E14" t="s">
        <v>109</v>
      </c>
      <c r="G14" t="str">
        <f>VLOOKUP(Tabela1[[#This Row],[Esteira]],Tabela2[],2,FALSE)</f>
        <v>Coord 3</v>
      </c>
      <c r="H14" t="str">
        <f>VLOOKUP($C14,Apoio!$A$2:$C$25,2)</f>
        <v>Liberação</v>
      </c>
      <c r="I14" t="str">
        <f>VLOOKUP($C14,Apoio!$A$2:$C$25,3)</f>
        <v>Liberação Pontual de Recursos</v>
      </c>
      <c r="J14" t="s">
        <v>67</v>
      </c>
      <c r="K14" t="s">
        <v>124</v>
      </c>
      <c r="L14" s="13">
        <v>182.00143227014817</v>
      </c>
      <c r="P14" t="s">
        <v>132</v>
      </c>
      <c r="Q14" t="s">
        <v>129</v>
      </c>
      <c r="R14">
        <f>IF(Tabela1[[#This Row],[Atraso]]="No Prazo",1,0)</f>
        <v>1</v>
      </c>
      <c r="S14">
        <f>MONTH(Tabela1[[#This Row],[Data de Abertura]])</f>
        <v>6</v>
      </c>
      <c r="U14">
        <v>613253</v>
      </c>
    </row>
    <row r="15" spans="1:30" x14ac:dyDescent="0.25">
      <c r="A15">
        <v>1</v>
      </c>
      <c r="B15" t="s">
        <v>34</v>
      </c>
      <c r="C15">
        <v>15</v>
      </c>
      <c r="D15" t="s">
        <v>191</v>
      </c>
      <c r="E15" t="s">
        <v>109</v>
      </c>
      <c r="G15" t="str">
        <f>VLOOKUP(Tabela1[[#This Row],[Esteira]],Tabela2[],2,FALSE)</f>
        <v>Coord 3</v>
      </c>
      <c r="H15" t="str">
        <f>VLOOKUP($C15,Apoio!$A$2:$C$25,2)</f>
        <v>Liberação</v>
      </c>
      <c r="I15" t="str">
        <f>VLOOKUP($C15,Apoio!$A$2:$C$25,3)</f>
        <v>Liberação de Instrução</v>
      </c>
      <c r="J15" t="s">
        <v>18</v>
      </c>
      <c r="K15" t="s">
        <v>123</v>
      </c>
      <c r="L15" s="13">
        <v>1.432270148184873E-3</v>
      </c>
      <c r="P15" t="s">
        <v>131</v>
      </c>
      <c r="Q15" t="s">
        <v>129</v>
      </c>
      <c r="R15">
        <f>IF(Tabela1[[#This Row],[Atraso]]="No Prazo",1,0)</f>
        <v>1</v>
      </c>
      <c r="S15">
        <f>MONTH(Tabela1[[#This Row],[Data de Abertura]])</f>
        <v>1</v>
      </c>
    </row>
    <row r="16" spans="1:30" x14ac:dyDescent="0.25">
      <c r="A16">
        <v>1</v>
      </c>
      <c r="B16" t="s">
        <v>37</v>
      </c>
      <c r="C16">
        <v>6</v>
      </c>
      <c r="D16" t="s">
        <v>191</v>
      </c>
      <c r="E16" t="s">
        <v>109</v>
      </c>
      <c r="G16" t="str">
        <f>VLOOKUP(Tabela1[[#This Row],[Esteira]],Tabela2[],2,FALSE)</f>
        <v>Coord 1</v>
      </c>
      <c r="H16" t="str">
        <f>VLOOKUP($C16,Apoio!$A$2:$C$25,2)</f>
        <v>Inclusão</v>
      </c>
      <c r="I16" t="str">
        <f>VLOOKUP($C16,Apoio!$A$2:$C$25,3)</f>
        <v>Reassociação de Veículos</v>
      </c>
      <c r="J16" t="s">
        <v>67</v>
      </c>
      <c r="K16" t="s">
        <v>19</v>
      </c>
      <c r="L16" s="13">
        <v>17.001432270148186</v>
      </c>
      <c r="P16" t="s">
        <v>132</v>
      </c>
      <c r="Q16" t="s">
        <v>130</v>
      </c>
      <c r="R16">
        <f>IF(Tabela1[[#This Row],[Atraso]]="No Prazo",1,0)</f>
        <v>0</v>
      </c>
      <c r="S16">
        <f>MONTH(Tabela1[[#This Row],[Data de Abertura]])</f>
        <v>1</v>
      </c>
    </row>
    <row r="17" spans="1:24" x14ac:dyDescent="0.25">
      <c r="A17">
        <v>1</v>
      </c>
      <c r="B17" t="s">
        <v>38</v>
      </c>
      <c r="C17">
        <v>9</v>
      </c>
      <c r="D17" t="s">
        <v>192</v>
      </c>
      <c r="E17" t="s">
        <v>186</v>
      </c>
      <c r="G17" t="str">
        <f>VLOOKUP(Tabela1[[#This Row],[Esteira]],Tabela2[],2,FALSE)</f>
        <v>Coord 3</v>
      </c>
      <c r="H17" t="str">
        <f>VLOOKUP($C17,Apoio!$A$2:$C$25,2)</f>
        <v>Liberação</v>
      </c>
      <c r="I17" t="str">
        <f>VLOOKUP($C17,Apoio!$A$2:$C$25,3)</f>
        <v>Liberação via Módulo</v>
      </c>
      <c r="J17" t="s">
        <v>67</v>
      </c>
      <c r="K17" t="s">
        <v>19</v>
      </c>
      <c r="L17" s="13">
        <v>46.001432270148186</v>
      </c>
      <c r="P17" t="s">
        <v>132</v>
      </c>
      <c r="Q17" t="s">
        <v>129</v>
      </c>
      <c r="R17">
        <f>IF(Tabela1[[#This Row],[Atraso]]="No Prazo",1,0)</f>
        <v>1</v>
      </c>
      <c r="S17">
        <f>MONTH(Tabela1[[#This Row],[Data de Abertura]])</f>
        <v>2</v>
      </c>
      <c r="U17">
        <v>446849</v>
      </c>
    </row>
    <row r="18" spans="1:24" x14ac:dyDescent="0.25">
      <c r="A18">
        <v>1</v>
      </c>
      <c r="B18" t="s">
        <v>39</v>
      </c>
      <c r="C18">
        <v>25</v>
      </c>
      <c r="D18" t="s">
        <v>191</v>
      </c>
      <c r="E18" t="s">
        <v>109</v>
      </c>
      <c r="G18" t="str">
        <f>VLOOKUP(Tabela1[[#This Row],[Esteira]],Tabela2[],2,FALSE)</f>
        <v>Coord 3</v>
      </c>
      <c r="H18" t="str">
        <f>VLOOKUP($C18,Apoio!$A$2:$C$25,2)</f>
        <v>Atendimento</v>
      </c>
      <c r="I18" t="str">
        <f>VLOOKUP($C18,Apoio!$A$2:$C$25,3)</f>
        <v>Tratamento de GECOV</v>
      </c>
      <c r="J18" t="s">
        <v>67</v>
      </c>
      <c r="K18" t="s">
        <v>123</v>
      </c>
      <c r="L18" s="13">
        <v>155.00143227014817</v>
      </c>
      <c r="P18" t="s">
        <v>132</v>
      </c>
      <c r="Q18" t="s">
        <v>130</v>
      </c>
      <c r="R18">
        <f>IF(Tabela1[[#This Row],[Atraso]]="No Prazo",1,0)</f>
        <v>0</v>
      </c>
      <c r="S18">
        <f>MONTH(Tabela1[[#This Row],[Data de Abertura]])</f>
        <v>6</v>
      </c>
      <c r="X18" t="s">
        <v>168</v>
      </c>
    </row>
    <row r="19" spans="1:24" x14ac:dyDescent="0.25">
      <c r="A19">
        <v>1</v>
      </c>
      <c r="B19" t="s">
        <v>40</v>
      </c>
      <c r="C19">
        <v>20</v>
      </c>
      <c r="D19" t="s">
        <v>191</v>
      </c>
      <c r="E19" t="s">
        <v>110</v>
      </c>
      <c r="G19" t="str">
        <f>VLOOKUP(Tabela1[[#This Row],[Esteira]],Tabela2[],2,FALSE)</f>
        <v>Coord 2</v>
      </c>
      <c r="H19" t="str">
        <f>VLOOKUP($C19,Apoio!$A$2:$C$25,2)</f>
        <v>Relatórios</v>
      </c>
      <c r="I19" t="str">
        <f>VLOOKUP($C19,Apoio!$A$2:$C$25,3)</f>
        <v>Relatório</v>
      </c>
      <c r="J19" t="s">
        <v>18</v>
      </c>
      <c r="K19" t="s">
        <v>19</v>
      </c>
      <c r="L19" s="13">
        <v>31.001432270148186</v>
      </c>
      <c r="P19" t="s">
        <v>131</v>
      </c>
      <c r="Q19" t="s">
        <v>129</v>
      </c>
      <c r="R19">
        <f>IF(Tabela1[[#This Row],[Atraso]]="No Prazo",1,0)</f>
        <v>1</v>
      </c>
      <c r="S19">
        <f>MONTH(Tabela1[[#This Row],[Data de Abertura]])</f>
        <v>1</v>
      </c>
    </row>
    <row r="20" spans="1:24" x14ac:dyDescent="0.25">
      <c r="A20">
        <v>1</v>
      </c>
      <c r="B20" t="s">
        <v>41</v>
      </c>
      <c r="C20">
        <v>6</v>
      </c>
      <c r="D20" t="s">
        <v>192</v>
      </c>
      <c r="E20" t="s">
        <v>186</v>
      </c>
      <c r="G20" t="str">
        <f>VLOOKUP(Tabela1[[#This Row],[Esteira]],Tabela2[],2,FALSE)</f>
        <v>Coord 1</v>
      </c>
      <c r="H20" t="str">
        <f>VLOOKUP($C20,Apoio!$A$2:$C$25,2)</f>
        <v>Inclusão</v>
      </c>
      <c r="I20" t="str">
        <f>VLOOKUP($C20,Apoio!$A$2:$C$25,3)</f>
        <v>Reassociação de Veículos</v>
      </c>
      <c r="J20" t="s">
        <v>67</v>
      </c>
      <c r="K20" t="s">
        <v>122</v>
      </c>
      <c r="L20" s="13">
        <v>87.001432270148186</v>
      </c>
      <c r="P20" t="s">
        <v>132</v>
      </c>
      <c r="Q20" t="s">
        <v>129</v>
      </c>
      <c r="R20">
        <f>IF(Tabela1[[#This Row],[Atraso]]="No Prazo",1,0)</f>
        <v>1</v>
      </c>
      <c r="S20">
        <f>MONTH(Tabela1[[#This Row],[Data de Abertura]])</f>
        <v>3</v>
      </c>
    </row>
    <row r="21" spans="1:24" x14ac:dyDescent="0.25">
      <c r="A21">
        <v>1</v>
      </c>
      <c r="B21" t="s">
        <v>42</v>
      </c>
      <c r="C21">
        <v>16</v>
      </c>
      <c r="D21" t="s">
        <v>191</v>
      </c>
      <c r="E21" t="s">
        <v>109</v>
      </c>
      <c r="G21" t="str">
        <f>VLOOKUP(Tabela1[[#This Row],[Esteira]],Tabela2[],2,FALSE)</f>
        <v>Coord 3</v>
      </c>
      <c r="H21" t="str">
        <f>VLOOKUP($C21,Apoio!$A$2:$C$25,2)</f>
        <v>Liberação</v>
      </c>
      <c r="I21" t="str">
        <f>VLOOKUP($C21,Apoio!$A$2:$C$25,3)</f>
        <v>Antecipação de Recebíveis</v>
      </c>
      <c r="J21" t="s">
        <v>18</v>
      </c>
      <c r="K21" t="s">
        <v>123</v>
      </c>
      <c r="L21" s="13">
        <v>213.00143227014817</v>
      </c>
      <c r="P21" t="s">
        <v>131</v>
      </c>
      <c r="Q21" t="s">
        <v>129</v>
      </c>
      <c r="R21">
        <f>IF(Tabela1[[#This Row],[Atraso]]="No Prazo",1,0)</f>
        <v>1</v>
      </c>
      <c r="S21">
        <f>MONTH(Tabela1[[#This Row],[Data de Abertura]])</f>
        <v>7</v>
      </c>
      <c r="U21">
        <v>634977</v>
      </c>
    </row>
    <row r="22" spans="1:24" x14ac:dyDescent="0.25">
      <c r="A22">
        <v>1</v>
      </c>
      <c r="B22" t="s">
        <v>43</v>
      </c>
      <c r="C22">
        <v>1</v>
      </c>
      <c r="D22" t="s">
        <v>191</v>
      </c>
      <c r="E22" t="s">
        <v>110</v>
      </c>
      <c r="G22" t="str">
        <f>VLOOKUP(Tabela1[[#This Row],[Esteira]],Tabela2[],2,FALSE)</f>
        <v>Coord 1</v>
      </c>
      <c r="H22" t="str">
        <f>VLOOKUP($C22,Apoio!$A$2:$C$25,2)</f>
        <v>Inclusão</v>
      </c>
      <c r="I22" t="str">
        <f>VLOOKUP($C22,Apoio!$A$2:$C$25,3)</f>
        <v>Inclusão de Operação</v>
      </c>
      <c r="J22" t="s">
        <v>18</v>
      </c>
      <c r="K22" t="s">
        <v>123</v>
      </c>
      <c r="L22" s="13">
        <v>234.00143227014817</v>
      </c>
      <c r="P22" t="s">
        <v>132</v>
      </c>
      <c r="Q22" t="s">
        <v>129</v>
      </c>
      <c r="R22">
        <f>IF(Tabela1[[#This Row],[Atraso]]="No Prazo",1,0)</f>
        <v>1</v>
      </c>
      <c r="S22">
        <f>MONTH(Tabela1[[#This Row],[Data de Abertura]])</f>
        <v>8</v>
      </c>
      <c r="V22" t="s">
        <v>162</v>
      </c>
      <c r="W22" t="s">
        <v>165</v>
      </c>
    </row>
    <row r="23" spans="1:24" x14ac:dyDescent="0.25">
      <c r="A23">
        <v>1</v>
      </c>
      <c r="B23" t="s">
        <v>44</v>
      </c>
      <c r="C23">
        <v>19</v>
      </c>
      <c r="D23" t="s">
        <v>192</v>
      </c>
      <c r="E23" t="s">
        <v>186</v>
      </c>
      <c r="G23" t="str">
        <f>VLOOKUP(Tabela1[[#This Row],[Esteira]],Tabela2[],2,FALSE)</f>
        <v>Coord 1</v>
      </c>
      <c r="H23" t="str">
        <f>VLOOKUP($C23,Apoio!$A$2:$C$25,2)</f>
        <v>Conciliação</v>
      </c>
      <c r="I23" t="str">
        <f>VLOOKUP($C23,Apoio!$A$2:$C$25,3)</f>
        <v>Fechamento</v>
      </c>
      <c r="J23" t="s">
        <v>67</v>
      </c>
      <c r="K23" t="s">
        <v>19</v>
      </c>
      <c r="L23" s="13">
        <v>179.00143227014817</v>
      </c>
      <c r="P23" t="s">
        <v>132</v>
      </c>
      <c r="Q23" t="s">
        <v>130</v>
      </c>
      <c r="R23">
        <f>IF(Tabela1[[#This Row],[Atraso]]="No Prazo",1,0)</f>
        <v>0</v>
      </c>
      <c r="S23">
        <f>MONTH(Tabela1[[#This Row],[Data de Abertura]])</f>
        <v>6</v>
      </c>
    </row>
    <row r="24" spans="1:24" x14ac:dyDescent="0.25">
      <c r="A24">
        <v>1</v>
      </c>
      <c r="B24" t="s">
        <v>45</v>
      </c>
      <c r="C24">
        <v>10</v>
      </c>
      <c r="D24" t="s">
        <v>191</v>
      </c>
      <c r="E24" t="s">
        <v>109</v>
      </c>
      <c r="G24" t="str">
        <f>VLOOKUP(Tabela1[[#This Row],[Esteira]],Tabela2[],2,FALSE)</f>
        <v>Coord 3</v>
      </c>
      <c r="H24" t="str">
        <f>VLOOKUP($C24,Apoio!$A$2:$C$25,2)</f>
        <v>Liberação</v>
      </c>
      <c r="I24" t="str">
        <f>VLOOKUP($C24,Apoio!$A$2:$C$25,3)</f>
        <v>Liberação Pontual de Recursos (Portal TEF)</v>
      </c>
      <c r="J24" t="s">
        <v>18</v>
      </c>
      <c r="K24" t="s">
        <v>19</v>
      </c>
      <c r="L24" s="13">
        <v>71.001432270148186</v>
      </c>
      <c r="P24" t="s">
        <v>132</v>
      </c>
      <c r="Q24" t="s">
        <v>129</v>
      </c>
      <c r="R24">
        <f>IF(Tabela1[[#This Row],[Atraso]]="No Prazo",1,0)</f>
        <v>1</v>
      </c>
      <c r="S24">
        <f>MONTH(Tabela1[[#This Row],[Data de Abertura]])</f>
        <v>3</v>
      </c>
      <c r="U24">
        <v>512083</v>
      </c>
    </row>
    <row r="25" spans="1:24" x14ac:dyDescent="0.25">
      <c r="A25">
        <v>1</v>
      </c>
      <c r="B25" t="s">
        <v>46</v>
      </c>
      <c r="C25">
        <v>13</v>
      </c>
      <c r="D25" t="s">
        <v>191</v>
      </c>
      <c r="E25" t="s">
        <v>109</v>
      </c>
      <c r="G25" t="str">
        <f>VLOOKUP(Tabela1[[#This Row],[Esteira]],Tabela2[],2,FALSE)</f>
        <v>Coord 3</v>
      </c>
      <c r="H25" t="str">
        <f>VLOOKUP($C25,Apoio!$A$2:$C$25,2)</f>
        <v>Liberação</v>
      </c>
      <c r="I25" t="str">
        <f>VLOOKUP($C25,Apoio!$A$2:$C$25,3)</f>
        <v>Desbloqueio</v>
      </c>
      <c r="J25" t="s">
        <v>18</v>
      </c>
      <c r="K25" t="s">
        <v>19</v>
      </c>
      <c r="L25" s="13">
        <v>39.001432270148186</v>
      </c>
      <c r="P25" t="s">
        <v>132</v>
      </c>
      <c r="Q25" t="s">
        <v>129</v>
      </c>
      <c r="R25">
        <f>IF(Tabela1[[#This Row],[Atraso]]="No Prazo",1,0)</f>
        <v>1</v>
      </c>
      <c r="S25">
        <f>MONTH(Tabela1[[#This Row],[Data de Abertura]])</f>
        <v>2</v>
      </c>
    </row>
    <row r="26" spans="1:24" x14ac:dyDescent="0.25">
      <c r="A26">
        <v>1</v>
      </c>
      <c r="B26" t="s">
        <v>47</v>
      </c>
      <c r="C26">
        <v>19</v>
      </c>
      <c r="D26" t="s">
        <v>191</v>
      </c>
      <c r="E26" t="s">
        <v>109</v>
      </c>
      <c r="G26" t="str">
        <f>VLOOKUP(Tabela1[[#This Row],[Esteira]],Tabela2[],2,FALSE)</f>
        <v>Coord 1</v>
      </c>
      <c r="H26" t="str">
        <f>VLOOKUP($C26,Apoio!$A$2:$C$25,2)</f>
        <v>Conciliação</v>
      </c>
      <c r="I26" t="str">
        <f>VLOOKUP($C26,Apoio!$A$2:$C$25,3)</f>
        <v>Fechamento</v>
      </c>
      <c r="J26" t="s">
        <v>18</v>
      </c>
      <c r="K26" t="s">
        <v>122</v>
      </c>
      <c r="L26" s="13">
        <v>207.00143227014817</v>
      </c>
      <c r="P26" t="s">
        <v>132</v>
      </c>
      <c r="Q26" t="s">
        <v>129</v>
      </c>
      <c r="R26">
        <f>IF(Tabela1[[#This Row],[Atraso]]="No Prazo",1,0)</f>
        <v>1</v>
      </c>
      <c r="S26">
        <f>MONTH(Tabela1[[#This Row],[Data de Abertura]])</f>
        <v>7</v>
      </c>
    </row>
    <row r="27" spans="1:24" x14ac:dyDescent="0.25">
      <c r="A27">
        <v>1</v>
      </c>
      <c r="B27" t="s">
        <v>48</v>
      </c>
      <c r="C27">
        <v>9</v>
      </c>
      <c r="D27" t="s">
        <v>191</v>
      </c>
      <c r="E27" t="s">
        <v>109</v>
      </c>
      <c r="G27" t="str">
        <f>VLOOKUP(Tabela1[[#This Row],[Esteira]],Tabela2[],2,FALSE)</f>
        <v>Coord 3</v>
      </c>
      <c r="H27" t="str">
        <f>VLOOKUP($C27,Apoio!$A$2:$C$25,2)</f>
        <v>Liberação</v>
      </c>
      <c r="I27" t="str">
        <f>VLOOKUP($C27,Apoio!$A$2:$C$25,3)</f>
        <v>Liberação via Módulo</v>
      </c>
      <c r="J27" t="s">
        <v>18</v>
      </c>
      <c r="K27" t="s">
        <v>123</v>
      </c>
      <c r="L27" s="13">
        <v>131.00143227014817</v>
      </c>
      <c r="P27" t="s">
        <v>132</v>
      </c>
      <c r="Q27" t="s">
        <v>129</v>
      </c>
      <c r="R27">
        <f>IF(Tabela1[[#This Row],[Atraso]]="No Prazo",1,0)</f>
        <v>1</v>
      </c>
      <c r="S27">
        <f>MONTH(Tabela1[[#This Row],[Data de Abertura]])</f>
        <v>5</v>
      </c>
      <c r="U27">
        <v>452131</v>
      </c>
    </row>
    <row r="28" spans="1:24" x14ac:dyDescent="0.25">
      <c r="A28">
        <v>1</v>
      </c>
      <c r="B28" t="s">
        <v>49</v>
      </c>
      <c r="C28">
        <v>25</v>
      </c>
      <c r="D28" t="s">
        <v>192</v>
      </c>
      <c r="E28" t="s">
        <v>186</v>
      </c>
      <c r="G28" t="str">
        <f>VLOOKUP(Tabela1[[#This Row],[Esteira]],Tabela2[],2,FALSE)</f>
        <v>Coord 3</v>
      </c>
      <c r="H28" t="str">
        <f>VLOOKUP($C28,Apoio!$A$2:$C$25,2)</f>
        <v>Atendimento</v>
      </c>
      <c r="I28" t="str">
        <f>VLOOKUP($C28,Apoio!$A$2:$C$25,3)</f>
        <v>Tratamento de GECOV</v>
      </c>
      <c r="J28" t="s">
        <v>18</v>
      </c>
      <c r="K28" t="s">
        <v>123</v>
      </c>
      <c r="L28" s="13">
        <v>75.001432270148186</v>
      </c>
      <c r="P28" t="s">
        <v>132</v>
      </c>
      <c r="Q28" t="s">
        <v>129</v>
      </c>
      <c r="R28">
        <f>IF(Tabela1[[#This Row],[Atraso]]="No Prazo",1,0)</f>
        <v>1</v>
      </c>
      <c r="S28">
        <f>MONTH(Tabela1[[#This Row],[Data de Abertura]])</f>
        <v>3</v>
      </c>
      <c r="X28" t="s">
        <v>169</v>
      </c>
    </row>
    <row r="29" spans="1:24" x14ac:dyDescent="0.25">
      <c r="A29">
        <v>1</v>
      </c>
      <c r="B29" t="s">
        <v>50</v>
      </c>
      <c r="C29">
        <v>13</v>
      </c>
      <c r="D29" t="s">
        <v>191</v>
      </c>
      <c r="E29" t="s">
        <v>109</v>
      </c>
      <c r="G29" t="str">
        <f>VLOOKUP(Tabela1[[#This Row],[Esteira]],Tabela2[],2,FALSE)</f>
        <v>Coord 3</v>
      </c>
      <c r="H29" t="str">
        <f>VLOOKUP($C29,Apoio!$A$2:$C$25,2)</f>
        <v>Liberação</v>
      </c>
      <c r="I29" t="str">
        <f>VLOOKUP($C29,Apoio!$A$2:$C$25,3)</f>
        <v>Desbloqueio</v>
      </c>
      <c r="J29" t="s">
        <v>18</v>
      </c>
      <c r="K29" t="s">
        <v>123</v>
      </c>
      <c r="L29" s="13">
        <v>183.00143227014817</v>
      </c>
      <c r="P29" t="s">
        <v>132</v>
      </c>
      <c r="Q29" t="s">
        <v>129</v>
      </c>
      <c r="R29">
        <f>IF(Tabela1[[#This Row],[Atraso]]="No Prazo",1,0)</f>
        <v>1</v>
      </c>
      <c r="S29">
        <f>MONTH(Tabela1[[#This Row],[Data de Abertura]])</f>
        <v>7</v>
      </c>
    </row>
    <row r="30" spans="1:24" x14ac:dyDescent="0.25">
      <c r="A30">
        <v>1</v>
      </c>
      <c r="B30" t="s">
        <v>51</v>
      </c>
      <c r="C30">
        <v>4</v>
      </c>
      <c r="D30" t="s">
        <v>191</v>
      </c>
      <c r="E30" t="s">
        <v>109</v>
      </c>
      <c r="G30" t="str">
        <f>VLOOKUP(Tabela1[[#This Row],[Esteira]],Tabela2[],2,FALSE)</f>
        <v>Coord 1</v>
      </c>
      <c r="H30" t="str">
        <f>VLOOKUP($C30,Apoio!$A$2:$C$25,2)</f>
        <v>Inclusão</v>
      </c>
      <c r="I30" t="str">
        <f>VLOOKUP($C30,Apoio!$A$2:$C$25,3)</f>
        <v>Trava (E-mail Padrão)</v>
      </c>
      <c r="J30" t="s">
        <v>18</v>
      </c>
      <c r="K30" t="s">
        <v>123</v>
      </c>
      <c r="L30" s="13">
        <v>69.001432270148186</v>
      </c>
      <c r="P30" t="s">
        <v>132</v>
      </c>
      <c r="Q30" t="s">
        <v>129</v>
      </c>
      <c r="R30">
        <f>IF(Tabela1[[#This Row],[Atraso]]="No Prazo",1,0)</f>
        <v>1</v>
      </c>
      <c r="S30">
        <f>MONTH(Tabela1[[#This Row],[Data de Abertura]])</f>
        <v>3</v>
      </c>
    </row>
    <row r="31" spans="1:24" x14ac:dyDescent="0.25">
      <c r="A31">
        <v>1</v>
      </c>
      <c r="B31" t="s">
        <v>52</v>
      </c>
      <c r="C31">
        <v>12</v>
      </c>
      <c r="D31" t="s">
        <v>191</v>
      </c>
      <c r="E31" t="s">
        <v>109</v>
      </c>
      <c r="G31" t="str">
        <f>VLOOKUP(Tabela1[[#This Row],[Esteira]],Tabela2[],2,FALSE)</f>
        <v>Coord 3</v>
      </c>
      <c r="H31" t="str">
        <f>VLOOKUP($C31,Apoio!$A$2:$C$25,2)</f>
        <v>Liberação</v>
      </c>
      <c r="I31" t="str">
        <f>VLOOKUP($C31,Apoio!$A$2:$C$25,3)</f>
        <v>Emissão de Termo de Liberação</v>
      </c>
      <c r="J31" t="s">
        <v>18</v>
      </c>
      <c r="K31" t="s">
        <v>123</v>
      </c>
      <c r="L31" s="13">
        <v>33.001432270148186</v>
      </c>
      <c r="P31" t="s">
        <v>132</v>
      </c>
      <c r="Q31" t="s">
        <v>129</v>
      </c>
      <c r="R31">
        <f>IF(Tabela1[[#This Row],[Atraso]]="No Prazo",1,0)</f>
        <v>1</v>
      </c>
      <c r="S31">
        <f>MONTH(Tabela1[[#This Row],[Data de Abertura]])</f>
        <v>2</v>
      </c>
    </row>
    <row r="32" spans="1:24" x14ac:dyDescent="0.25">
      <c r="A32">
        <v>1</v>
      </c>
      <c r="B32" t="s">
        <v>53</v>
      </c>
      <c r="C32">
        <v>20</v>
      </c>
      <c r="D32" t="s">
        <v>191</v>
      </c>
      <c r="E32" t="s">
        <v>109</v>
      </c>
      <c r="G32" t="str">
        <f>VLOOKUP(Tabela1[[#This Row],[Esteira]],Tabela2[],2,FALSE)</f>
        <v>Coord 2</v>
      </c>
      <c r="H32" t="str">
        <f>VLOOKUP($C32,Apoio!$A$2:$C$25,2)</f>
        <v>Relatórios</v>
      </c>
      <c r="I32" t="str">
        <f>VLOOKUP($C32,Apoio!$A$2:$C$25,3)</f>
        <v>Relatório</v>
      </c>
      <c r="J32" t="s">
        <v>18</v>
      </c>
      <c r="K32" t="s">
        <v>123</v>
      </c>
      <c r="L32" s="13">
        <v>149.00143227014817</v>
      </c>
      <c r="P32" t="s">
        <v>132</v>
      </c>
      <c r="Q32" t="s">
        <v>129</v>
      </c>
      <c r="R32">
        <f>IF(Tabela1[[#This Row],[Atraso]]="No Prazo",1,0)</f>
        <v>1</v>
      </c>
      <c r="S32">
        <f>MONTH(Tabela1[[#This Row],[Data de Abertura]])</f>
        <v>5</v>
      </c>
    </row>
    <row r="33" spans="1:24" x14ac:dyDescent="0.25">
      <c r="A33">
        <v>1</v>
      </c>
      <c r="B33" t="s">
        <v>54</v>
      </c>
      <c r="C33">
        <v>16</v>
      </c>
      <c r="D33" t="s">
        <v>191</v>
      </c>
      <c r="E33" t="s">
        <v>110</v>
      </c>
      <c r="G33" t="str">
        <f>VLOOKUP(Tabela1[[#This Row],[Esteira]],Tabela2[],2,FALSE)</f>
        <v>Coord 3</v>
      </c>
      <c r="H33" t="str">
        <f>VLOOKUP($C33,Apoio!$A$2:$C$25,2)</f>
        <v>Liberação</v>
      </c>
      <c r="I33" t="str">
        <f>VLOOKUP($C33,Apoio!$A$2:$C$25,3)</f>
        <v>Antecipação de Recebíveis</v>
      </c>
      <c r="J33" t="s">
        <v>18</v>
      </c>
      <c r="K33" t="s">
        <v>123</v>
      </c>
      <c r="L33" s="13">
        <v>193.00143227014817</v>
      </c>
      <c r="P33" t="s">
        <v>132</v>
      </c>
      <c r="Q33" t="s">
        <v>129</v>
      </c>
      <c r="R33">
        <f>IF(Tabela1[[#This Row],[Atraso]]="No Prazo",1,0)</f>
        <v>1</v>
      </c>
      <c r="S33">
        <f>MONTH(Tabela1[[#This Row],[Data de Abertura]])</f>
        <v>7</v>
      </c>
      <c r="U33">
        <v>431275</v>
      </c>
    </row>
    <row r="34" spans="1:24" x14ac:dyDescent="0.25">
      <c r="A34">
        <v>1</v>
      </c>
      <c r="B34" t="s">
        <v>55</v>
      </c>
      <c r="C34">
        <v>15</v>
      </c>
      <c r="D34" t="s">
        <v>191</v>
      </c>
      <c r="E34" t="s">
        <v>109</v>
      </c>
      <c r="G34" t="str">
        <f>VLOOKUP(Tabela1[[#This Row],[Esteira]],Tabela2[],2,FALSE)</f>
        <v>Coord 3</v>
      </c>
      <c r="H34" t="str">
        <f>VLOOKUP($C34,Apoio!$A$2:$C$25,2)</f>
        <v>Liberação</v>
      </c>
      <c r="I34" t="str">
        <f>VLOOKUP($C34,Apoio!$A$2:$C$25,3)</f>
        <v>Liberação de Instrução</v>
      </c>
      <c r="J34" t="s">
        <v>67</v>
      </c>
      <c r="K34" t="s">
        <v>19</v>
      </c>
      <c r="L34" s="13">
        <v>223.00143227014817</v>
      </c>
      <c r="P34" t="s">
        <v>132</v>
      </c>
      <c r="Q34" t="s">
        <v>129</v>
      </c>
      <c r="R34">
        <f>IF(Tabela1[[#This Row],[Atraso]]="No Prazo",1,0)</f>
        <v>1</v>
      </c>
      <c r="S34">
        <f>MONTH(Tabela1[[#This Row],[Data de Abertura]])</f>
        <v>8</v>
      </c>
    </row>
    <row r="35" spans="1:24" x14ac:dyDescent="0.25">
      <c r="A35">
        <v>1</v>
      </c>
      <c r="B35" t="s">
        <v>56</v>
      </c>
      <c r="C35">
        <v>5</v>
      </c>
      <c r="D35" t="s">
        <v>191</v>
      </c>
      <c r="E35" t="s">
        <v>109</v>
      </c>
      <c r="G35" t="str">
        <f>VLOOKUP(Tabela1[[#This Row],[Esteira]],Tabela2[],2,FALSE)</f>
        <v>Coord 1</v>
      </c>
      <c r="H35" t="str">
        <f>VLOOKUP($C35,Apoio!$A$2:$C$25,2)</f>
        <v>Inclusão</v>
      </c>
      <c r="I35" t="str">
        <f>VLOOKUP($C35,Apoio!$A$2:$C$25,3)</f>
        <v>Trava (E-mail Fora do Padrão)</v>
      </c>
      <c r="J35" t="s">
        <v>18</v>
      </c>
      <c r="K35" t="s">
        <v>122</v>
      </c>
      <c r="L35" s="13">
        <v>177.00143227014817</v>
      </c>
      <c r="P35" t="s">
        <v>132</v>
      </c>
      <c r="Q35" t="s">
        <v>129</v>
      </c>
      <c r="R35">
        <f>IF(Tabela1[[#This Row],[Atraso]]="No Prazo",1,0)</f>
        <v>1</v>
      </c>
      <c r="S35">
        <f>MONTH(Tabela1[[#This Row],[Data de Abertura]])</f>
        <v>6</v>
      </c>
    </row>
    <row r="36" spans="1:24" x14ac:dyDescent="0.25">
      <c r="A36">
        <v>1</v>
      </c>
      <c r="B36" t="s">
        <v>57</v>
      </c>
      <c r="C36">
        <v>6</v>
      </c>
      <c r="D36" t="s">
        <v>191</v>
      </c>
      <c r="E36" t="s">
        <v>109</v>
      </c>
      <c r="G36" t="str">
        <f>VLOOKUP(Tabela1[[#This Row],[Esteira]],Tabela2[],2,FALSE)</f>
        <v>Coord 1</v>
      </c>
      <c r="H36" t="str">
        <f>VLOOKUP($C36,Apoio!$A$2:$C$25,2)</f>
        <v>Inclusão</v>
      </c>
      <c r="I36" t="str">
        <f>VLOOKUP($C36,Apoio!$A$2:$C$25,3)</f>
        <v>Reassociação de Veículos</v>
      </c>
      <c r="J36" t="s">
        <v>18</v>
      </c>
      <c r="K36" t="s">
        <v>19</v>
      </c>
      <c r="L36" s="13">
        <v>41.001432270148186</v>
      </c>
      <c r="P36" t="s">
        <v>132</v>
      </c>
      <c r="Q36" t="s">
        <v>130</v>
      </c>
      <c r="R36">
        <f>IF(Tabela1[[#This Row],[Atraso]]="No Prazo",1,0)</f>
        <v>0</v>
      </c>
      <c r="S36">
        <f>MONTH(Tabela1[[#This Row],[Data de Abertura]])</f>
        <v>2</v>
      </c>
    </row>
    <row r="37" spans="1:24" x14ac:dyDescent="0.25">
      <c r="A37">
        <v>1</v>
      </c>
      <c r="B37" t="s">
        <v>58</v>
      </c>
      <c r="C37">
        <v>22</v>
      </c>
      <c r="D37" t="s">
        <v>191</v>
      </c>
      <c r="E37" t="s">
        <v>109</v>
      </c>
      <c r="G37" t="str">
        <f>VLOOKUP(Tabela1[[#This Row],[Esteira]],Tabela2[],2,FALSE)</f>
        <v>Coord 3</v>
      </c>
      <c r="H37" t="str">
        <f>VLOOKUP($C37,Apoio!$A$2:$C$25,2)</f>
        <v>Atendimento</v>
      </c>
      <c r="I37" t="str">
        <f>VLOOKUP($C37,Apoio!$A$2:$C$25,3)</f>
        <v>Dúvidas</v>
      </c>
      <c r="J37" t="s">
        <v>67</v>
      </c>
      <c r="K37" t="s">
        <v>122</v>
      </c>
      <c r="L37" s="13">
        <v>25.001432270148186</v>
      </c>
      <c r="P37" t="s">
        <v>131</v>
      </c>
      <c r="Q37" t="s">
        <v>129</v>
      </c>
      <c r="R37">
        <f>IF(Tabela1[[#This Row],[Atraso]]="No Prazo",1,0)</f>
        <v>1</v>
      </c>
      <c r="S37">
        <f>MONTH(Tabela1[[#This Row],[Data de Abertura]])</f>
        <v>1</v>
      </c>
      <c r="X37" t="s">
        <v>168</v>
      </c>
    </row>
    <row r="38" spans="1:24" x14ac:dyDescent="0.25">
      <c r="A38">
        <v>1</v>
      </c>
      <c r="B38" t="s">
        <v>59</v>
      </c>
      <c r="C38">
        <v>13</v>
      </c>
      <c r="D38" t="s">
        <v>191</v>
      </c>
      <c r="E38" t="s">
        <v>109</v>
      </c>
      <c r="G38" t="str">
        <f>VLOOKUP(Tabela1[[#This Row],[Esteira]],Tabela2[],2,FALSE)</f>
        <v>Coord 3</v>
      </c>
      <c r="H38" t="str">
        <f>VLOOKUP($C38,Apoio!$A$2:$C$25,2)</f>
        <v>Liberação</v>
      </c>
      <c r="I38" t="str">
        <f>VLOOKUP($C38,Apoio!$A$2:$C$25,3)</f>
        <v>Desbloqueio</v>
      </c>
      <c r="J38" t="s">
        <v>18</v>
      </c>
      <c r="K38" t="s">
        <v>19</v>
      </c>
      <c r="L38" s="13">
        <v>202.00143227014817</v>
      </c>
      <c r="P38" t="s">
        <v>131</v>
      </c>
      <c r="Q38" t="s">
        <v>129</v>
      </c>
      <c r="R38">
        <f>IF(Tabela1[[#This Row],[Atraso]]="No Prazo",1,0)</f>
        <v>1</v>
      </c>
      <c r="S38">
        <f>MONTH(Tabela1[[#This Row],[Data de Abertura]])</f>
        <v>7</v>
      </c>
    </row>
    <row r="39" spans="1:24" x14ac:dyDescent="0.25">
      <c r="A39">
        <v>1</v>
      </c>
      <c r="B39" t="s">
        <v>60</v>
      </c>
      <c r="C39">
        <v>11</v>
      </c>
      <c r="D39" t="s">
        <v>191</v>
      </c>
      <c r="E39" t="s">
        <v>109</v>
      </c>
      <c r="G39" t="str">
        <f>VLOOKUP(Tabela1[[#This Row],[Esteira]],Tabela2[],2,FALSE)</f>
        <v>Coord 3</v>
      </c>
      <c r="H39" t="str">
        <f>VLOOKUP($C39,Apoio!$A$2:$C$25,2)</f>
        <v>Liberação</v>
      </c>
      <c r="I39" t="str">
        <f>VLOOKUP($C39,Apoio!$A$2:$C$25,3)</f>
        <v>Liberação Pontual de Recursos</v>
      </c>
      <c r="J39" t="s">
        <v>67</v>
      </c>
      <c r="K39" t="s">
        <v>122</v>
      </c>
      <c r="L39" s="13">
        <v>93.001432270148186</v>
      </c>
      <c r="P39" t="s">
        <v>131</v>
      </c>
      <c r="Q39" t="s">
        <v>129</v>
      </c>
      <c r="R39">
        <f>IF(Tabela1[[#This Row],[Atraso]]="No Prazo",1,0)</f>
        <v>1</v>
      </c>
      <c r="S39">
        <f>MONTH(Tabela1[[#This Row],[Data de Abertura]])</f>
        <v>4</v>
      </c>
      <c r="U39">
        <v>694751</v>
      </c>
    </row>
    <row r="40" spans="1:24" x14ac:dyDescent="0.25">
      <c r="A40">
        <v>1</v>
      </c>
      <c r="B40" t="s">
        <v>61</v>
      </c>
      <c r="C40">
        <v>11</v>
      </c>
      <c r="D40" t="s">
        <v>192</v>
      </c>
      <c r="E40" t="s">
        <v>186</v>
      </c>
      <c r="G40" t="str">
        <f>VLOOKUP(Tabela1[[#This Row],[Esteira]],Tabela2[],2,FALSE)</f>
        <v>Coord 3</v>
      </c>
      <c r="H40" t="str">
        <f>VLOOKUP($C40,Apoio!$A$2:$C$25,2)</f>
        <v>Liberação</v>
      </c>
      <c r="I40" t="str">
        <f>VLOOKUP($C40,Apoio!$A$2:$C$25,3)</f>
        <v>Liberação Pontual de Recursos</v>
      </c>
      <c r="J40" t="s">
        <v>18</v>
      </c>
      <c r="K40" t="s">
        <v>19</v>
      </c>
      <c r="L40" s="13">
        <v>32.001432270148186</v>
      </c>
      <c r="P40" t="s">
        <v>132</v>
      </c>
      <c r="Q40" t="s">
        <v>129</v>
      </c>
      <c r="R40">
        <f>IF(Tabela1[[#This Row],[Atraso]]="No Prazo",1,0)</f>
        <v>1</v>
      </c>
      <c r="S40">
        <f>MONTH(Tabela1[[#This Row],[Data de Abertura]])</f>
        <v>2</v>
      </c>
      <c r="U40">
        <v>644973</v>
      </c>
    </row>
    <row r="41" spans="1:24" x14ac:dyDescent="0.25">
      <c r="A41">
        <v>1</v>
      </c>
      <c r="B41" t="s">
        <v>62</v>
      </c>
      <c r="C41">
        <v>15</v>
      </c>
      <c r="D41" t="s">
        <v>192</v>
      </c>
      <c r="E41" t="s">
        <v>186</v>
      </c>
      <c r="G41" t="str">
        <f>VLOOKUP(Tabela1[[#This Row],[Esteira]],Tabela2[],2,FALSE)</f>
        <v>Coord 3</v>
      </c>
      <c r="H41" t="str">
        <f>VLOOKUP($C41,Apoio!$A$2:$C$25,2)</f>
        <v>Liberação</v>
      </c>
      <c r="I41" t="str">
        <f>VLOOKUP($C41,Apoio!$A$2:$C$25,3)</f>
        <v>Liberação de Instrução</v>
      </c>
      <c r="J41" t="s">
        <v>67</v>
      </c>
      <c r="K41" t="s">
        <v>122</v>
      </c>
      <c r="L41" s="13">
        <v>236.00143227014817</v>
      </c>
      <c r="P41" t="s">
        <v>131</v>
      </c>
      <c r="Q41" t="s">
        <v>129</v>
      </c>
      <c r="R41">
        <f>IF(Tabela1[[#This Row],[Atraso]]="No Prazo",1,0)</f>
        <v>1</v>
      </c>
      <c r="S41">
        <f>MONTH(Tabela1[[#This Row],[Data de Abertura]])</f>
        <v>8</v>
      </c>
    </row>
    <row r="42" spans="1:24" x14ac:dyDescent="0.25">
      <c r="A42">
        <v>1</v>
      </c>
      <c r="B42" t="s">
        <v>63</v>
      </c>
      <c r="C42">
        <v>24</v>
      </c>
      <c r="D42" t="s">
        <v>191</v>
      </c>
      <c r="E42" t="s">
        <v>109</v>
      </c>
      <c r="G42" t="str">
        <f>VLOOKUP(Tabela1[[#This Row],[Esteira]],Tabela2[],2,FALSE)</f>
        <v>Coord 3</v>
      </c>
      <c r="H42" t="str">
        <f>VLOOKUP($C42,Apoio!$A$2:$C$25,2)</f>
        <v>Atendimento</v>
      </c>
      <c r="I42" t="str">
        <f>VLOOKUP($C42,Apoio!$A$2:$C$25,3)</f>
        <v>Tratamento de GECOV</v>
      </c>
      <c r="J42" t="s">
        <v>18</v>
      </c>
      <c r="K42" t="s">
        <v>19</v>
      </c>
      <c r="L42" s="13">
        <v>248.00143227014817</v>
      </c>
      <c r="P42" t="s">
        <v>131</v>
      </c>
      <c r="Q42" t="s">
        <v>129</v>
      </c>
      <c r="R42">
        <f>IF(Tabela1[[#This Row],[Atraso]]="No Prazo",1,0)</f>
        <v>1</v>
      </c>
      <c r="S42">
        <f>MONTH(Tabela1[[#This Row],[Data de Abertura]])</f>
        <v>9</v>
      </c>
      <c r="X42" t="s">
        <v>172</v>
      </c>
    </row>
    <row r="43" spans="1:24" x14ac:dyDescent="0.25">
      <c r="A43">
        <v>1</v>
      </c>
      <c r="B43" t="s">
        <v>64</v>
      </c>
      <c r="C43">
        <v>1</v>
      </c>
      <c r="D43" t="s">
        <v>191</v>
      </c>
      <c r="E43" t="s">
        <v>109</v>
      </c>
      <c r="G43" t="str">
        <f>VLOOKUP(Tabela1[[#This Row],[Esteira]],Tabela2[],2,FALSE)</f>
        <v>Coord 1</v>
      </c>
      <c r="H43" t="str">
        <f>VLOOKUP($C43,Apoio!$A$2:$C$25,2)</f>
        <v>Inclusão</v>
      </c>
      <c r="I43" t="str">
        <f>VLOOKUP($C43,Apoio!$A$2:$C$25,3)</f>
        <v>Inclusão de Operação</v>
      </c>
      <c r="J43" t="s">
        <v>18</v>
      </c>
      <c r="K43" t="s">
        <v>122</v>
      </c>
      <c r="L43" s="13">
        <v>33.001432270148186</v>
      </c>
      <c r="P43" t="s">
        <v>131</v>
      </c>
      <c r="Q43" t="s">
        <v>129</v>
      </c>
      <c r="R43">
        <f>IF(Tabela1[[#This Row],[Atraso]]="No Prazo",1,0)</f>
        <v>1</v>
      </c>
      <c r="S43">
        <f>MONTH(Tabela1[[#This Row],[Data de Abertura]])</f>
        <v>2</v>
      </c>
      <c r="V43" t="s">
        <v>163</v>
      </c>
      <c r="W43" t="s">
        <v>164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25"/>
  <sheetViews>
    <sheetView workbookViewId="0"/>
  </sheetViews>
  <sheetFormatPr defaultRowHeight="15" x14ac:dyDescent="0.25"/>
  <cols>
    <col min="2" max="2" width="12.85546875" bestFit="1" customWidth="1"/>
    <col min="3" max="3" width="27.28515625" bestFit="1" customWidth="1"/>
    <col min="4" max="4" width="76.28515625" style="10" customWidth="1"/>
    <col min="5" max="5" width="11.7109375" bestFit="1" customWidth="1"/>
    <col min="7" max="7" width="26.7109375" bestFit="1" customWidth="1"/>
    <col min="10" max="10" width="19.28515625" bestFit="1" customWidth="1"/>
    <col min="12" max="12" width="13.7109375" bestFit="1" customWidth="1"/>
    <col min="13" max="13" width="14.7109375" customWidth="1"/>
  </cols>
  <sheetData>
    <row r="1" spans="1:13" x14ac:dyDescent="0.25">
      <c r="A1" t="s">
        <v>120</v>
      </c>
      <c r="B1" t="s">
        <v>1</v>
      </c>
      <c r="C1" t="s">
        <v>2</v>
      </c>
      <c r="D1" s="10" t="s">
        <v>68</v>
      </c>
      <c r="E1" t="s">
        <v>101</v>
      </c>
      <c r="G1" t="s">
        <v>78</v>
      </c>
      <c r="J1" t="s">
        <v>121</v>
      </c>
      <c r="L1" t="s">
        <v>1</v>
      </c>
      <c r="M1" t="s">
        <v>135</v>
      </c>
    </row>
    <row r="2" spans="1:13" x14ac:dyDescent="0.25">
      <c r="A2">
        <v>1</v>
      </c>
      <c r="B2" t="s">
        <v>10</v>
      </c>
      <c r="C2" s="6" t="s">
        <v>11</v>
      </c>
      <c r="D2" s="10" t="s">
        <v>100</v>
      </c>
      <c r="E2" t="s">
        <v>102</v>
      </c>
      <c r="G2" t="s">
        <v>79</v>
      </c>
      <c r="J2" t="s">
        <v>19</v>
      </c>
      <c r="L2" t="s">
        <v>10</v>
      </c>
      <c r="M2" t="s">
        <v>136</v>
      </c>
    </row>
    <row r="3" spans="1:13" x14ac:dyDescent="0.25">
      <c r="A3">
        <v>2</v>
      </c>
      <c r="B3" t="s">
        <v>10</v>
      </c>
      <c r="C3" t="s">
        <v>66</v>
      </c>
      <c r="D3" s="10" t="s">
        <v>103</v>
      </c>
      <c r="G3" t="s">
        <v>80</v>
      </c>
      <c r="J3" t="s">
        <v>122</v>
      </c>
      <c r="L3" t="s">
        <v>35</v>
      </c>
      <c r="M3" t="s">
        <v>137</v>
      </c>
    </row>
    <row r="4" spans="1:13" ht="30" x14ac:dyDescent="0.25">
      <c r="A4">
        <v>3</v>
      </c>
      <c r="B4" t="s">
        <v>10</v>
      </c>
      <c r="C4" s="6" t="s">
        <v>69</v>
      </c>
      <c r="D4" s="10" t="s">
        <v>104</v>
      </c>
      <c r="G4" t="s">
        <v>81</v>
      </c>
      <c r="J4" t="s">
        <v>123</v>
      </c>
      <c r="L4" t="s">
        <v>36</v>
      </c>
      <c r="M4" t="s">
        <v>138</v>
      </c>
    </row>
    <row r="5" spans="1:13" x14ac:dyDescent="0.25">
      <c r="A5">
        <v>4</v>
      </c>
      <c r="B5" t="s">
        <v>10</v>
      </c>
      <c r="C5" t="s">
        <v>70</v>
      </c>
      <c r="D5" s="10" t="s">
        <v>105</v>
      </c>
      <c r="J5" t="s">
        <v>124</v>
      </c>
      <c r="L5" t="s">
        <v>88</v>
      </c>
      <c r="M5" t="s">
        <v>136</v>
      </c>
    </row>
    <row r="6" spans="1:13" x14ac:dyDescent="0.25">
      <c r="A6">
        <v>5</v>
      </c>
      <c r="B6" t="s">
        <v>10</v>
      </c>
      <c r="C6" t="s">
        <v>71</v>
      </c>
      <c r="D6" s="10" t="s">
        <v>105</v>
      </c>
      <c r="J6" t="s">
        <v>125</v>
      </c>
      <c r="L6" t="s">
        <v>91</v>
      </c>
      <c r="M6" t="s">
        <v>137</v>
      </c>
    </row>
    <row r="7" spans="1:13" x14ac:dyDescent="0.25">
      <c r="A7">
        <v>6</v>
      </c>
      <c r="B7" t="s">
        <v>10</v>
      </c>
      <c r="C7" t="s">
        <v>72</v>
      </c>
      <c r="D7" s="10" t="s">
        <v>106</v>
      </c>
      <c r="J7" t="s">
        <v>126</v>
      </c>
      <c r="L7" t="s">
        <v>65</v>
      </c>
      <c r="M7" t="s">
        <v>138</v>
      </c>
    </row>
    <row r="8" spans="1:13" ht="30" x14ac:dyDescent="0.25">
      <c r="A8">
        <v>7</v>
      </c>
      <c r="B8" t="s">
        <v>35</v>
      </c>
      <c r="C8" t="s">
        <v>74</v>
      </c>
      <c r="D8" s="10" t="s">
        <v>107</v>
      </c>
      <c r="J8" t="s">
        <v>127</v>
      </c>
    </row>
    <row r="9" spans="1:13" x14ac:dyDescent="0.25">
      <c r="A9">
        <v>8</v>
      </c>
      <c r="B9" t="s">
        <v>35</v>
      </c>
      <c r="C9" t="s">
        <v>73</v>
      </c>
      <c r="D9" s="10" t="s">
        <v>108</v>
      </c>
    </row>
    <row r="10" spans="1:13" x14ac:dyDescent="0.25">
      <c r="A10">
        <v>9</v>
      </c>
      <c r="B10" t="s">
        <v>36</v>
      </c>
      <c r="C10" t="s">
        <v>75</v>
      </c>
      <c r="D10" s="10" t="s">
        <v>113</v>
      </c>
    </row>
    <row r="11" spans="1:13" x14ac:dyDescent="0.25">
      <c r="A11">
        <v>10</v>
      </c>
      <c r="B11" t="s">
        <v>36</v>
      </c>
      <c r="C11" t="s">
        <v>77</v>
      </c>
      <c r="D11" s="10" t="s">
        <v>112</v>
      </c>
    </row>
    <row r="12" spans="1:13" x14ac:dyDescent="0.25">
      <c r="A12">
        <v>11</v>
      </c>
      <c r="B12" t="s">
        <v>36</v>
      </c>
      <c r="C12" t="s">
        <v>76</v>
      </c>
      <c r="D12" s="10" t="s">
        <v>112</v>
      </c>
    </row>
    <row r="13" spans="1:13" x14ac:dyDescent="0.25">
      <c r="A13">
        <v>12</v>
      </c>
      <c r="B13" t="s">
        <v>36</v>
      </c>
      <c r="C13" t="s">
        <v>82</v>
      </c>
      <c r="D13" s="10" t="s">
        <v>114</v>
      </c>
    </row>
    <row r="14" spans="1:13" ht="30" x14ac:dyDescent="0.25">
      <c r="A14">
        <v>13</v>
      </c>
      <c r="B14" t="s">
        <v>36</v>
      </c>
      <c r="C14" s="6" t="s">
        <v>83</v>
      </c>
      <c r="D14" s="10" t="s">
        <v>115</v>
      </c>
    </row>
    <row r="15" spans="1:13" x14ac:dyDescent="0.25">
      <c r="A15">
        <v>14</v>
      </c>
      <c r="B15" t="s">
        <v>36</v>
      </c>
      <c r="C15" t="s">
        <v>84</v>
      </c>
      <c r="D15" s="10" t="s">
        <v>116</v>
      </c>
    </row>
    <row r="16" spans="1:13" x14ac:dyDescent="0.25">
      <c r="A16">
        <v>15</v>
      </c>
      <c r="B16" t="s">
        <v>36</v>
      </c>
      <c r="C16" t="s">
        <v>85</v>
      </c>
      <c r="D16" s="10" t="s">
        <v>117</v>
      </c>
    </row>
    <row r="17" spans="1:4" x14ac:dyDescent="0.25">
      <c r="A17">
        <v>16</v>
      </c>
      <c r="B17" t="s">
        <v>36</v>
      </c>
      <c r="C17" s="6" t="s">
        <v>86</v>
      </c>
      <c r="D17" s="10" t="s">
        <v>160</v>
      </c>
    </row>
    <row r="18" spans="1:4" x14ac:dyDescent="0.25">
      <c r="A18">
        <v>17</v>
      </c>
      <c r="B18" t="s">
        <v>36</v>
      </c>
      <c r="C18" t="s">
        <v>87</v>
      </c>
      <c r="D18" s="10" t="s">
        <v>118</v>
      </c>
    </row>
    <row r="19" spans="1:4" x14ac:dyDescent="0.25">
      <c r="A19">
        <v>18</v>
      </c>
      <c r="B19" t="s">
        <v>88</v>
      </c>
      <c r="C19" t="s">
        <v>89</v>
      </c>
      <c r="D19" s="10" t="s">
        <v>119</v>
      </c>
    </row>
    <row r="20" spans="1:4" x14ac:dyDescent="0.25">
      <c r="A20">
        <v>19</v>
      </c>
      <c r="B20" t="s">
        <v>88</v>
      </c>
      <c r="C20" t="s">
        <v>90</v>
      </c>
    </row>
    <row r="21" spans="1:4" x14ac:dyDescent="0.25">
      <c r="A21">
        <v>20</v>
      </c>
      <c r="B21" t="s">
        <v>91</v>
      </c>
      <c r="C21" t="s">
        <v>92</v>
      </c>
      <c r="D21" s="10" t="s">
        <v>93</v>
      </c>
    </row>
    <row r="22" spans="1:4" x14ac:dyDescent="0.25">
      <c r="A22">
        <v>21</v>
      </c>
      <c r="B22" t="s">
        <v>65</v>
      </c>
      <c r="C22" t="s">
        <v>94</v>
      </c>
      <c r="D22" s="10" t="s">
        <v>95</v>
      </c>
    </row>
    <row r="23" spans="1:4" x14ac:dyDescent="0.25">
      <c r="A23">
        <v>22</v>
      </c>
      <c r="B23" t="s">
        <v>65</v>
      </c>
      <c r="C23" t="s">
        <v>96</v>
      </c>
      <c r="D23" s="10" t="s">
        <v>97</v>
      </c>
    </row>
    <row r="24" spans="1:4" x14ac:dyDescent="0.25">
      <c r="A24">
        <v>23</v>
      </c>
      <c r="B24" t="s">
        <v>65</v>
      </c>
      <c r="C24" t="s">
        <v>98</v>
      </c>
    </row>
    <row r="25" spans="1:4" x14ac:dyDescent="0.25">
      <c r="A25">
        <v>24</v>
      </c>
      <c r="B25" t="s">
        <v>65</v>
      </c>
      <c r="C25" t="s">
        <v>99</v>
      </c>
    </row>
  </sheetData>
  <autoFilter ref="A1:E25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2</vt:i4>
      </vt:variant>
    </vt:vector>
  </HeadingPairs>
  <TitlesOfParts>
    <vt:vector size="24" baseType="lpstr">
      <vt:lpstr>Home</vt:lpstr>
      <vt:lpstr>Live</vt:lpstr>
      <vt:lpstr>Operações</vt:lpstr>
      <vt:lpstr>Apoio Ops</vt:lpstr>
      <vt:lpstr>SLA &amp; Volumetria</vt:lpstr>
      <vt:lpstr>Visão Esteira22</vt:lpstr>
      <vt:lpstr>Inclusão</vt:lpstr>
      <vt:lpstr>Composição</vt:lpstr>
      <vt:lpstr>Liberação</vt:lpstr>
      <vt:lpstr>Conciliação</vt:lpstr>
      <vt:lpstr>Relatórios</vt:lpstr>
      <vt:lpstr>Atendimento</vt:lpstr>
      <vt:lpstr>Visão Esteira</vt:lpstr>
      <vt:lpstr>Visão Tipo de Garantia</vt:lpstr>
      <vt:lpstr>Visão Período</vt:lpstr>
      <vt:lpstr>Visão Segmento</vt:lpstr>
      <vt:lpstr>PT Tipos de Garantia</vt:lpstr>
      <vt:lpstr>PT Esteira+Coord</vt:lpstr>
      <vt:lpstr>PT Segmento</vt:lpstr>
      <vt:lpstr>PT Tempo</vt:lpstr>
      <vt:lpstr>Base</vt:lpstr>
      <vt:lpstr>Apoio</vt:lpstr>
      <vt:lpstr>EndDate</vt:lpstr>
      <vt:lpstr>StartDate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Visagio</dc:creator>
  <cp:lastModifiedBy>Visagio</cp:lastModifiedBy>
  <dcterms:created xsi:type="dcterms:W3CDTF">2017-09-25T18:53:52Z</dcterms:created>
  <dcterms:modified xsi:type="dcterms:W3CDTF">2017-10-02T22:29:49Z</dcterms:modified>
</cp:coreProperties>
</file>